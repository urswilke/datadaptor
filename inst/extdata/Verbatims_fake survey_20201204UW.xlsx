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Projects\UW fake survey\Verbatims\"/>
    </mc:Choice>
  </mc:AlternateContent>
  <bookViews>
    <workbookView xWindow="0" yWindow="0" windowWidth="21600" windowHeight="9420" activeTab="2"/>
  </bookViews>
  <sheets>
    <sheet name="Codestufen" sheetId="2" r:id="rId1"/>
    <sheet name="Q6" sheetId="3" r:id="rId2"/>
    <sheet name="Q7" sheetId="4" r:id="rId3"/>
  </sheets>
  <definedNames>
    <definedName name="_xlnm._FilterDatabase" localSheetId="1" hidden="1">'Q6'!$D$32:$T$132</definedName>
    <definedName name="_xlnm._FilterDatabase" localSheetId="2" hidden="1">'Q7'!$D$32:$T$132</definedName>
    <definedName name="V_AnzVariablen" localSheetId="1">'Q6'!$H$5</definedName>
    <definedName name="V_AnzVariablen" localSheetId="2">'Q7'!$H$5</definedName>
    <definedName name="V_B_Q6_AnzZuord" localSheetId="1">'Q6'!$D$14</definedName>
    <definedName name="V_B_Q6_AnzZuordOVerb" localSheetId="1">'Q6'!$D$18</definedName>
    <definedName name="V_B_Q6_Codestufen" localSheetId="1">'Q6'!$D$22</definedName>
    <definedName name="V_B_Q6_CodestufenName" localSheetId="1">'Q6'!$D$20</definedName>
    <definedName name="V_B_Q6_Datensaetze" localSheetId="1">'Q6'!$D$8</definedName>
    <definedName name="V_B_Q6_Verbatims" localSheetId="1">'Q6'!$D$10</definedName>
    <definedName name="V_B_Q6_Zuord" localSheetId="1">'Q6'!$D$12</definedName>
    <definedName name="V_B_Q7_AnzZuord" localSheetId="2">'Q7'!$D$14</definedName>
    <definedName name="V_B_Q7_AnzZuordOVerb" localSheetId="2">'Q7'!$D$18</definedName>
    <definedName name="V_B_Q7_Codestufen" localSheetId="2">'Q7'!$D$22</definedName>
    <definedName name="V_B_Q7_CodestufenName" localSheetId="2">'Q7'!$D$20</definedName>
    <definedName name="V_B_Q7_Datensaetze" localSheetId="2">'Q7'!$D$8</definedName>
    <definedName name="V_B_Q7_Verbatims" localSheetId="2">'Q7'!$D$10</definedName>
    <definedName name="V_B_Q7_Zuord" localSheetId="2">'Q7'!$D$12</definedName>
    <definedName name="V_W_Q6_AnzZuord" localSheetId="1">'Q6'!$I$33:$I$132</definedName>
    <definedName name="V_W_Q6_AnzZuordOVerb" localSheetId="1">'Q6'!$K$33:$K$132</definedName>
    <definedName name="V_W_Q6_Codestufen" localSheetId="1">'Q6'!$C$1:$C$100</definedName>
    <definedName name="V_W_Q6_CodestufenName" localSheetId="1">'Q6'!$B$1:$B$100</definedName>
    <definedName name="V_W_Q6_Datensaetze" localSheetId="1">'Q6'!$D$33:$D$132</definedName>
    <definedName name="V_W_Q6_Verbatims" localSheetId="1">'Q6'!$H$33:$H$132</definedName>
    <definedName name="V_W_Q6_Zuord" localSheetId="1">'Q6'!$G$33:$G$132</definedName>
    <definedName name="V_W_Q7_AnzZuord" localSheetId="2">'Q7'!$I$33:$I$132</definedName>
    <definedName name="V_W_Q7_AnzZuordOVerb" localSheetId="2">'Q7'!$K$33:$K$132</definedName>
    <definedName name="V_W_Q7_Codestufen" localSheetId="2">'Q7'!$C$1:$C$100</definedName>
    <definedName name="V_W_Q7_CodestufenName" localSheetId="2">'Q7'!$B$1:$B$100</definedName>
    <definedName name="V_W_Q7_Datensaetze" localSheetId="2">'Q7'!$D$33:$D$132</definedName>
    <definedName name="V_W_Q7_Verbatims" localSheetId="2">'Q7'!$H$33:$H$132</definedName>
    <definedName name="V_W_Q7_Zuord" localSheetId="2">'Q7'!$G$33:$G$132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3" i="3" l="1"/>
  <c r="H43" i="3"/>
  <c r="J43" i="3" s="1"/>
  <c r="I103" i="3"/>
  <c r="H103" i="3"/>
  <c r="J103" i="3" s="1"/>
  <c r="I65" i="3"/>
  <c r="H65" i="3"/>
  <c r="J65" i="3" s="1"/>
  <c r="I57" i="3"/>
  <c r="H57" i="3"/>
  <c r="J57" i="3" s="1"/>
  <c r="I93" i="3"/>
  <c r="H93" i="3"/>
  <c r="J93" i="3" s="1"/>
  <c r="I132" i="3"/>
  <c r="H132" i="3"/>
  <c r="J132" i="3" s="1"/>
  <c r="I92" i="3"/>
  <c r="H92" i="3"/>
  <c r="J92" i="3" s="1"/>
  <c r="I114" i="3"/>
  <c r="H114" i="3"/>
  <c r="J114" i="3" s="1"/>
  <c r="I131" i="3"/>
  <c r="H131" i="3"/>
  <c r="J131" i="3" s="1"/>
  <c r="I42" i="3"/>
  <c r="H42" i="3"/>
  <c r="J42" i="3" s="1"/>
  <c r="I91" i="3"/>
  <c r="H91" i="3"/>
  <c r="J91" i="3" s="1"/>
  <c r="I56" i="3"/>
  <c r="H56" i="3"/>
  <c r="J56" i="3" s="1"/>
  <c r="I55" i="3"/>
  <c r="H55" i="3"/>
  <c r="J55" i="3" s="1"/>
  <c r="I122" i="3"/>
  <c r="H122" i="3"/>
  <c r="J122" i="3" s="1"/>
  <c r="I113" i="3"/>
  <c r="H113" i="3"/>
  <c r="I90" i="3"/>
  <c r="H90" i="3"/>
  <c r="J90" i="3" s="1"/>
  <c r="I121" i="3"/>
  <c r="H121" i="3"/>
  <c r="J121" i="3" s="1"/>
  <c r="I89" i="3"/>
  <c r="H89" i="3"/>
  <c r="J89" i="3" s="1"/>
  <c r="I112" i="3"/>
  <c r="H112" i="3"/>
  <c r="J112" i="3" s="1"/>
  <c r="I120" i="3"/>
  <c r="H120" i="3"/>
  <c r="J120" i="3" s="1"/>
  <c r="I130" i="3"/>
  <c r="H130" i="3"/>
  <c r="J130" i="3" s="1"/>
  <c r="I64" i="3"/>
  <c r="H64" i="3"/>
  <c r="J64" i="3" s="1"/>
  <c r="I54" i="3"/>
  <c r="H54" i="3"/>
  <c r="J54" i="3" s="1"/>
  <c r="I88" i="3"/>
  <c r="H88" i="3"/>
  <c r="J88" i="3" s="1"/>
  <c r="I102" i="3"/>
  <c r="H102" i="3"/>
  <c r="J102" i="3" s="1"/>
  <c r="I111" i="3"/>
  <c r="H111" i="3"/>
  <c r="J111" i="3" s="1"/>
  <c r="I41" i="3"/>
  <c r="H41" i="3"/>
  <c r="J41" i="3" s="1"/>
  <c r="I40" i="3"/>
  <c r="H40" i="3"/>
  <c r="J40" i="3" s="1"/>
  <c r="I53" i="3"/>
  <c r="H53" i="3"/>
  <c r="J53" i="3" s="1"/>
  <c r="I87" i="3"/>
  <c r="H87" i="3"/>
  <c r="J87" i="3" s="1"/>
  <c r="I74" i="3"/>
  <c r="H74" i="3"/>
  <c r="J74" i="3" s="1"/>
  <c r="I101" i="3"/>
  <c r="H101" i="3"/>
  <c r="J101" i="3" s="1"/>
  <c r="I110" i="3"/>
  <c r="H110" i="3"/>
  <c r="J110" i="3" s="1"/>
  <c r="I39" i="3"/>
  <c r="H39" i="3"/>
  <c r="J39" i="3" s="1"/>
  <c r="I86" i="3"/>
  <c r="H86" i="3"/>
  <c r="J86" i="3" s="1"/>
  <c r="I38" i="3"/>
  <c r="H38" i="3"/>
  <c r="J38" i="3" s="1"/>
  <c r="I129" i="3"/>
  <c r="H129" i="3"/>
  <c r="J129" i="3" s="1"/>
  <c r="I100" i="3"/>
  <c r="H100" i="3"/>
  <c r="J100" i="3" s="1"/>
  <c r="I63" i="3"/>
  <c r="H63" i="3"/>
  <c r="J63" i="3" s="1"/>
  <c r="I73" i="3"/>
  <c r="H73" i="3"/>
  <c r="J73" i="3" s="1"/>
  <c r="I128" i="3"/>
  <c r="H128" i="3"/>
  <c r="J128" i="3" s="1"/>
  <c r="I127" i="3"/>
  <c r="H127" i="3"/>
  <c r="J127" i="3" s="1"/>
  <c r="I37" i="3"/>
  <c r="H37" i="3"/>
  <c r="J37" i="3" s="1"/>
  <c r="I85" i="3"/>
  <c r="H85" i="3"/>
  <c r="J85" i="3" s="1"/>
  <c r="I84" i="3"/>
  <c r="H84" i="3"/>
  <c r="J84" i="3" s="1"/>
  <c r="I52" i="3"/>
  <c r="H52" i="3"/>
  <c r="J52" i="3" s="1"/>
  <c r="I83" i="3"/>
  <c r="H83" i="3"/>
  <c r="J83" i="3" s="1"/>
  <c r="I72" i="3"/>
  <c r="H72" i="3"/>
  <c r="J72" i="3" s="1"/>
  <c r="I82" i="3"/>
  <c r="H82" i="3"/>
  <c r="J82" i="3" s="1"/>
  <c r="I36" i="3"/>
  <c r="H36" i="3"/>
  <c r="J36" i="3" s="1"/>
  <c r="I119" i="3"/>
  <c r="H119" i="3"/>
  <c r="J119" i="3" s="1"/>
  <c r="I62" i="3"/>
  <c r="H62" i="3"/>
  <c r="J62" i="3" s="1"/>
  <c r="I126" i="3"/>
  <c r="H126" i="3"/>
  <c r="J126" i="3" s="1"/>
  <c r="I51" i="3"/>
  <c r="H51" i="3"/>
  <c r="J51" i="3" s="1"/>
  <c r="I118" i="3"/>
  <c r="H118" i="3"/>
  <c r="J118" i="3" s="1"/>
  <c r="I50" i="3"/>
  <c r="H50" i="3"/>
  <c r="J50" i="3" s="1"/>
  <c r="I81" i="3"/>
  <c r="H81" i="3"/>
  <c r="J81" i="3" s="1"/>
  <c r="I125" i="3"/>
  <c r="H125" i="3"/>
  <c r="J125" i="3" s="1"/>
  <c r="I109" i="3"/>
  <c r="H109" i="3"/>
  <c r="J109" i="3" s="1"/>
  <c r="I108" i="3"/>
  <c r="H108" i="3"/>
  <c r="J108" i="3" s="1"/>
  <c r="I99" i="3"/>
  <c r="H99" i="3"/>
  <c r="J99" i="3" s="1"/>
  <c r="I61" i="3"/>
  <c r="H61" i="3"/>
  <c r="J61" i="3" s="1"/>
  <c r="I49" i="3"/>
  <c r="H49" i="3"/>
  <c r="J49" i="3" s="1"/>
  <c r="I98" i="3"/>
  <c r="H98" i="3"/>
  <c r="J98" i="3" s="1"/>
  <c r="I71" i="3"/>
  <c r="H71" i="3"/>
  <c r="J71" i="3" s="1"/>
  <c r="I48" i="3"/>
  <c r="H48" i="3"/>
  <c r="J48" i="3" s="1"/>
  <c r="I80" i="3"/>
  <c r="H80" i="3"/>
  <c r="J80" i="3" s="1"/>
  <c r="I107" i="3"/>
  <c r="H107" i="3"/>
  <c r="J107" i="3" s="1"/>
  <c r="I70" i="3"/>
  <c r="H70" i="3"/>
  <c r="J70" i="3" s="1"/>
  <c r="I124" i="3"/>
  <c r="H124" i="3"/>
  <c r="J124" i="3" s="1"/>
  <c r="I69" i="3"/>
  <c r="H69" i="3"/>
  <c r="J69" i="3" s="1"/>
  <c r="I117" i="3"/>
  <c r="H117" i="3"/>
  <c r="J117" i="3" s="1"/>
  <c r="I79" i="3"/>
  <c r="H79" i="3"/>
  <c r="J79" i="3" s="1"/>
  <c r="I97" i="3"/>
  <c r="H97" i="3"/>
  <c r="J97" i="3" s="1"/>
  <c r="I47" i="3"/>
  <c r="H47" i="3"/>
  <c r="J47" i="3" s="1"/>
  <c r="I78" i="3"/>
  <c r="H78" i="3"/>
  <c r="J78" i="3" s="1"/>
  <c r="I68" i="3"/>
  <c r="H68" i="3"/>
  <c r="J68" i="3" s="1"/>
  <c r="I35" i="3"/>
  <c r="H35" i="3"/>
  <c r="J35" i="3" s="1"/>
  <c r="I46" i="3"/>
  <c r="H46" i="3"/>
  <c r="J46" i="3" s="1"/>
  <c r="I96" i="3"/>
  <c r="H96" i="3"/>
  <c r="J96" i="3" s="1"/>
  <c r="I116" i="3"/>
  <c r="H116" i="3"/>
  <c r="J116" i="3" s="1"/>
  <c r="I77" i="3"/>
  <c r="H77" i="3"/>
  <c r="J77" i="3" s="1"/>
  <c r="I123" i="3"/>
  <c r="H123" i="3"/>
  <c r="J123" i="3" s="1"/>
  <c r="I34" i="3"/>
  <c r="H34" i="3"/>
  <c r="I106" i="3"/>
  <c r="H106" i="3"/>
  <c r="I95" i="3"/>
  <c r="H95" i="3"/>
  <c r="I60" i="3"/>
  <c r="H60" i="3"/>
  <c r="I45" i="3"/>
  <c r="H45" i="3"/>
  <c r="I59" i="3"/>
  <c r="H59" i="3"/>
  <c r="I115" i="3"/>
  <c r="H115" i="3"/>
  <c r="I105" i="3"/>
  <c r="H105" i="3"/>
  <c r="I67" i="3"/>
  <c r="H67" i="3"/>
  <c r="I66" i="3"/>
  <c r="H66" i="3"/>
  <c r="I33" i="3"/>
  <c r="H33" i="3"/>
  <c r="I76" i="3"/>
  <c r="H76" i="3"/>
  <c r="I58" i="3"/>
  <c r="H58" i="3"/>
  <c r="I75" i="3"/>
  <c r="H75" i="3"/>
  <c r="I44" i="3"/>
  <c r="H44" i="3"/>
  <c r="I94" i="3"/>
  <c r="H94" i="3"/>
  <c r="I132" i="4"/>
  <c r="H132" i="4"/>
  <c r="J132" i="4" s="1"/>
  <c r="I70" i="4"/>
  <c r="H70" i="4"/>
  <c r="J70" i="4" s="1"/>
  <c r="I45" i="4"/>
  <c r="H45" i="4"/>
  <c r="J45" i="4" s="1"/>
  <c r="I114" i="4"/>
  <c r="H114" i="4"/>
  <c r="J114" i="4" s="1"/>
  <c r="I84" i="4"/>
  <c r="H84" i="4"/>
  <c r="I113" i="4"/>
  <c r="H113" i="4"/>
  <c r="J113" i="4" s="1"/>
  <c r="I77" i="4"/>
  <c r="H77" i="4"/>
  <c r="J77" i="4" s="1"/>
  <c r="I131" i="4"/>
  <c r="H131" i="4"/>
  <c r="J131" i="4" s="1"/>
  <c r="I59" i="4"/>
  <c r="H59" i="4"/>
  <c r="J59" i="4" s="1"/>
  <c r="I69" i="4"/>
  <c r="H69" i="4"/>
  <c r="J69" i="4" s="1"/>
  <c r="I83" i="4"/>
  <c r="H83" i="4"/>
  <c r="J83" i="4" s="1"/>
  <c r="I130" i="4"/>
  <c r="H130" i="4"/>
  <c r="J130" i="4" s="1"/>
  <c r="I103" i="4"/>
  <c r="H103" i="4"/>
  <c r="I34" i="4"/>
  <c r="H34" i="4"/>
  <c r="J34" i="4" s="1"/>
  <c r="I129" i="4"/>
  <c r="H129" i="4"/>
  <c r="J129" i="4" s="1"/>
  <c r="I112" i="4"/>
  <c r="H112" i="4"/>
  <c r="J112" i="4" s="1"/>
  <c r="I58" i="4"/>
  <c r="H58" i="4"/>
  <c r="J58" i="4" s="1"/>
  <c r="I111" i="4"/>
  <c r="H111" i="4"/>
  <c r="J111" i="4" s="1"/>
  <c r="I68" i="4"/>
  <c r="H68" i="4"/>
  <c r="J68" i="4" s="1"/>
  <c r="I76" i="4"/>
  <c r="H76" i="4"/>
  <c r="J76" i="4" s="1"/>
  <c r="I97" i="4"/>
  <c r="H97" i="4"/>
  <c r="J97" i="4" s="1"/>
  <c r="I67" i="4"/>
  <c r="H67" i="4"/>
  <c r="J67" i="4" s="1"/>
  <c r="I102" i="4"/>
  <c r="H102" i="4"/>
  <c r="I33" i="4"/>
  <c r="H33" i="4"/>
  <c r="J33" i="4" s="1"/>
  <c r="I96" i="4"/>
  <c r="H96" i="4"/>
  <c r="J96" i="4" s="1"/>
  <c r="I57" i="4"/>
  <c r="H57" i="4"/>
  <c r="J57" i="4" s="1"/>
  <c r="I123" i="4"/>
  <c r="H123" i="4"/>
  <c r="J123" i="4" s="1"/>
  <c r="I56" i="4"/>
  <c r="H56" i="4"/>
  <c r="J56" i="4" s="1"/>
  <c r="I110" i="4"/>
  <c r="H110" i="4"/>
  <c r="J110" i="4" s="1"/>
  <c r="I75" i="4"/>
  <c r="H75" i="4"/>
  <c r="J75" i="4" s="1"/>
  <c r="I95" i="4"/>
  <c r="H95" i="4"/>
  <c r="J95" i="4" s="1"/>
  <c r="I44" i="4"/>
  <c r="H44" i="4"/>
  <c r="J44" i="4" s="1"/>
  <c r="I82" i="4"/>
  <c r="H82" i="4"/>
  <c r="J82" i="4" s="1"/>
  <c r="I81" i="4"/>
  <c r="H81" i="4"/>
  <c r="J81" i="4" s="1"/>
  <c r="I43" i="4"/>
  <c r="H43" i="4"/>
  <c r="J43" i="4" s="1"/>
  <c r="I122" i="4"/>
  <c r="H122" i="4"/>
  <c r="J122" i="4" s="1"/>
  <c r="I128" i="4"/>
  <c r="H128" i="4"/>
  <c r="J128" i="4" s="1"/>
  <c r="I55" i="4"/>
  <c r="H55" i="4"/>
  <c r="J55" i="4" s="1"/>
  <c r="I90" i="4"/>
  <c r="H90" i="4"/>
  <c r="J90" i="4" s="1"/>
  <c r="I54" i="4"/>
  <c r="H54" i="4"/>
  <c r="J54" i="4" s="1"/>
  <c r="I109" i="4"/>
  <c r="H109" i="4"/>
  <c r="J109" i="4" s="1"/>
  <c r="I66" i="4"/>
  <c r="H66" i="4"/>
  <c r="J66" i="4" s="1"/>
  <c r="I94" i="4"/>
  <c r="H94" i="4"/>
  <c r="J94" i="4" s="1"/>
  <c r="I53" i="4"/>
  <c r="H53" i="4"/>
  <c r="J53" i="4" s="1"/>
  <c r="I42" i="4"/>
  <c r="H42" i="4"/>
  <c r="J42" i="4" s="1"/>
  <c r="I121" i="4"/>
  <c r="H121" i="4"/>
  <c r="J121" i="4" s="1"/>
  <c r="I74" i="4"/>
  <c r="H74" i="4"/>
  <c r="J74" i="4" s="1"/>
  <c r="I127" i="4"/>
  <c r="H127" i="4"/>
  <c r="J127" i="4" s="1"/>
  <c r="I93" i="4"/>
  <c r="H93" i="4"/>
  <c r="J93" i="4" s="1"/>
  <c r="I52" i="4"/>
  <c r="H52" i="4"/>
  <c r="J52" i="4" s="1"/>
  <c r="I101" i="4"/>
  <c r="H101" i="4"/>
  <c r="I41" i="4"/>
  <c r="H41" i="4"/>
  <c r="J41" i="4" s="1"/>
  <c r="I65" i="4"/>
  <c r="H65" i="4"/>
  <c r="J65" i="4" s="1"/>
  <c r="I89" i="4"/>
  <c r="H89" i="4"/>
  <c r="J89" i="4" s="1"/>
  <c r="I51" i="4"/>
  <c r="H51" i="4"/>
  <c r="J51" i="4" s="1"/>
  <c r="I40" i="4"/>
  <c r="H40" i="4"/>
  <c r="J40" i="4" s="1"/>
  <c r="I39" i="4"/>
  <c r="H39" i="4"/>
  <c r="J39" i="4" s="1"/>
  <c r="I126" i="4"/>
  <c r="H126" i="4"/>
  <c r="J126" i="4" s="1"/>
  <c r="I88" i="4"/>
  <c r="H88" i="4"/>
  <c r="J88" i="4" s="1"/>
  <c r="I50" i="4"/>
  <c r="H50" i="4"/>
  <c r="J50" i="4" s="1"/>
  <c r="I108" i="4"/>
  <c r="H108" i="4"/>
  <c r="J108" i="4" s="1"/>
  <c r="I125" i="4"/>
  <c r="H125" i="4"/>
  <c r="J125" i="4" s="1"/>
  <c r="I120" i="4"/>
  <c r="H120" i="4"/>
  <c r="J120" i="4" s="1"/>
  <c r="I124" i="4"/>
  <c r="H124" i="4"/>
  <c r="J124" i="4" s="1"/>
  <c r="I107" i="4"/>
  <c r="H107" i="4"/>
  <c r="J107" i="4" s="1"/>
  <c r="I92" i="4"/>
  <c r="H92" i="4"/>
  <c r="J92" i="4" s="1"/>
  <c r="I87" i="4"/>
  <c r="H87" i="4"/>
  <c r="J87" i="4" s="1"/>
  <c r="I80" i="4"/>
  <c r="H80" i="4"/>
  <c r="J80" i="4" s="1"/>
  <c r="I64" i="4"/>
  <c r="H64" i="4"/>
  <c r="J64" i="4" s="1"/>
  <c r="I73" i="4"/>
  <c r="H73" i="4"/>
  <c r="J73" i="4" s="1"/>
  <c r="I106" i="4"/>
  <c r="H106" i="4"/>
  <c r="J106" i="4" s="1"/>
  <c r="I49" i="4"/>
  <c r="H49" i="4"/>
  <c r="J49" i="4" s="1"/>
  <c r="I105" i="4"/>
  <c r="H105" i="4"/>
  <c r="J105" i="4" s="1"/>
  <c r="I38" i="4"/>
  <c r="H38" i="4"/>
  <c r="J38" i="4" s="1"/>
  <c r="I100" i="4"/>
  <c r="H100" i="4"/>
  <c r="I72" i="4"/>
  <c r="H72" i="4"/>
  <c r="J72" i="4" s="1"/>
  <c r="I91" i="4"/>
  <c r="H91" i="4"/>
  <c r="J91" i="4" s="1"/>
  <c r="I37" i="4"/>
  <c r="H37" i="4"/>
  <c r="J37" i="4" s="1"/>
  <c r="I119" i="4"/>
  <c r="H119" i="4"/>
  <c r="J119" i="4" s="1"/>
  <c r="I79" i="4"/>
  <c r="H79" i="4"/>
  <c r="J79" i="4" s="1"/>
  <c r="I99" i="4"/>
  <c r="H99" i="4"/>
  <c r="I48" i="4"/>
  <c r="H48" i="4"/>
  <c r="J48" i="4" s="1"/>
  <c r="I78" i="4"/>
  <c r="H78" i="4"/>
  <c r="J78" i="4" s="1"/>
  <c r="I71" i="4"/>
  <c r="H71" i="4"/>
  <c r="J71" i="4" s="1"/>
  <c r="I63" i="4"/>
  <c r="H63" i="4"/>
  <c r="I36" i="4"/>
  <c r="H36" i="4"/>
  <c r="I98" i="4"/>
  <c r="H98" i="4"/>
  <c r="I62" i="4"/>
  <c r="H62" i="4"/>
  <c r="I118" i="4"/>
  <c r="H118" i="4"/>
  <c r="I47" i="4"/>
  <c r="H47" i="4"/>
  <c r="I117" i="4"/>
  <c r="H117" i="4"/>
  <c r="I61" i="4"/>
  <c r="H61" i="4"/>
  <c r="I116" i="4"/>
  <c r="H116" i="4"/>
  <c r="I60" i="4"/>
  <c r="H60" i="4"/>
  <c r="I35" i="4"/>
  <c r="H35" i="4"/>
  <c r="I46" i="4"/>
  <c r="H46" i="4"/>
  <c r="I115" i="4"/>
  <c r="H115" i="4"/>
  <c r="I86" i="4"/>
  <c r="H86" i="4"/>
  <c r="I85" i="4"/>
  <c r="H85" i="4"/>
  <c r="I104" i="4"/>
  <c r="H8" i="4" s="1"/>
  <c r="H104" i="4"/>
  <c r="D18" i="4"/>
  <c r="D16" i="4"/>
  <c r="D14" i="4"/>
  <c r="D10" i="4"/>
  <c r="D12" i="4"/>
  <c r="D8" i="4"/>
  <c r="C1" i="2"/>
  <c r="B2" i="4"/>
  <c r="C2" i="4"/>
  <c r="B3" i="4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G26" i="4" s="1"/>
  <c r="B98" i="4"/>
  <c r="C98" i="4"/>
  <c r="G27" i="4" s="1"/>
  <c r="B99" i="4"/>
  <c r="C99" i="4"/>
  <c r="G28" i="4" s="1"/>
  <c r="B100" i="4"/>
  <c r="C100" i="4"/>
  <c r="G29" i="4" s="1"/>
  <c r="B1" i="4"/>
  <c r="G30" i="4"/>
  <c r="F29" i="4"/>
  <c r="F28" i="4"/>
  <c r="F27" i="4"/>
  <c r="F26" i="4"/>
  <c r="H6" i="4"/>
  <c r="H4" i="4"/>
  <c r="C1" i="4"/>
  <c r="E26" i="4"/>
  <c r="E27" i="4" s="1"/>
  <c r="E5" i="4"/>
  <c r="E6" i="4" s="1"/>
  <c r="F6" i="4" s="1"/>
  <c r="I104" i="3"/>
  <c r="H104" i="3"/>
  <c r="D18" i="3"/>
  <c r="D16" i="3"/>
  <c r="D14" i="3"/>
  <c r="D10" i="3"/>
  <c r="D12" i="3"/>
  <c r="D8" i="3"/>
  <c r="B1" i="2"/>
  <c r="B2" i="3"/>
  <c r="C2" i="3"/>
  <c r="B3" i="3"/>
  <c r="C3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G26" i="3" s="1"/>
  <c r="B98" i="3"/>
  <c r="C98" i="3"/>
  <c r="G27" i="3" s="1"/>
  <c r="B99" i="3"/>
  <c r="C99" i="3"/>
  <c r="G28" i="3" s="1"/>
  <c r="B100" i="3"/>
  <c r="C100" i="3"/>
  <c r="G29" i="3" s="1"/>
  <c r="B1" i="3"/>
  <c r="G30" i="3"/>
  <c r="F29" i="3"/>
  <c r="F28" i="3"/>
  <c r="F27" i="3"/>
  <c r="F26" i="3"/>
  <c r="H7" i="3"/>
  <c r="H4" i="3"/>
  <c r="C1" i="3"/>
  <c r="E26" i="3"/>
  <c r="E27" i="3" s="1"/>
  <c r="E5" i="3"/>
  <c r="E6" i="3" s="1"/>
  <c r="F6" i="3" s="1"/>
  <c r="A3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J99" i="4" l="1"/>
  <c r="J100" i="4"/>
  <c r="J101" i="4"/>
  <c r="J102" i="4"/>
  <c r="J103" i="4"/>
  <c r="J84" i="4"/>
  <c r="J113" i="3"/>
  <c r="J85" i="4"/>
  <c r="J86" i="4"/>
  <c r="J115" i="4"/>
  <c r="J46" i="4"/>
  <c r="J35" i="4"/>
  <c r="J60" i="4"/>
  <c r="J116" i="4"/>
  <c r="J61" i="4"/>
  <c r="J117" i="4"/>
  <c r="J47" i="4"/>
  <c r="J118" i="4"/>
  <c r="J62" i="4"/>
  <c r="J98" i="4"/>
  <c r="J36" i="4"/>
  <c r="K63" i="4"/>
  <c r="K78" i="4"/>
  <c r="K99" i="4"/>
  <c r="K119" i="4"/>
  <c r="K91" i="4"/>
  <c r="K100" i="4"/>
  <c r="K105" i="4"/>
  <c r="K106" i="4"/>
  <c r="K64" i="4"/>
  <c r="K87" i="4"/>
  <c r="K107" i="4"/>
  <c r="K120" i="4"/>
  <c r="K108" i="4"/>
  <c r="K88" i="4"/>
  <c r="K39" i="4"/>
  <c r="K51" i="4"/>
  <c r="K65" i="4"/>
  <c r="K101" i="4"/>
  <c r="K93" i="4"/>
  <c r="K74" i="4"/>
  <c r="K42" i="4"/>
  <c r="K94" i="4"/>
  <c r="K109" i="4"/>
  <c r="K90" i="4"/>
  <c r="K128" i="4"/>
  <c r="K43" i="4"/>
  <c r="K82" i="4"/>
  <c r="K95" i="4"/>
  <c r="K110" i="4"/>
  <c r="K123" i="4"/>
  <c r="K96" i="4"/>
  <c r="K102" i="4"/>
  <c r="K97" i="4"/>
  <c r="K68" i="4"/>
  <c r="K58" i="4"/>
  <c r="K129" i="4"/>
  <c r="K103" i="4"/>
  <c r="K83" i="4"/>
  <c r="K59" i="4"/>
  <c r="K77" i="4"/>
  <c r="K84" i="4"/>
  <c r="K45" i="4"/>
  <c r="K132" i="4"/>
  <c r="H6" i="3"/>
  <c r="J104" i="3"/>
  <c r="J94" i="3"/>
  <c r="J44" i="3"/>
  <c r="J75" i="3"/>
  <c r="J58" i="3"/>
  <c r="J76" i="3"/>
  <c r="J33" i="3"/>
  <c r="J66" i="3"/>
  <c r="J67" i="3"/>
  <c r="J105" i="3"/>
  <c r="J115" i="3"/>
  <c r="J59" i="3"/>
  <c r="J45" i="3"/>
  <c r="J60" i="3"/>
  <c r="J95" i="3"/>
  <c r="K106" i="3"/>
  <c r="K123" i="3"/>
  <c r="K116" i="3"/>
  <c r="K46" i="3"/>
  <c r="K68" i="3"/>
  <c r="K47" i="3"/>
  <c r="K79" i="3"/>
  <c r="K69" i="3"/>
  <c r="K70" i="3"/>
  <c r="K80" i="3"/>
  <c r="K71" i="3"/>
  <c r="K49" i="3"/>
  <c r="K99" i="3"/>
  <c r="K109" i="3"/>
  <c r="K81" i="3"/>
  <c r="K118" i="3"/>
  <c r="K126" i="3"/>
  <c r="K119" i="3"/>
  <c r="K82" i="3"/>
  <c r="K83" i="3"/>
  <c r="K84" i="3"/>
  <c r="K37" i="3"/>
  <c r="K128" i="3"/>
  <c r="K63" i="3"/>
  <c r="K129" i="3"/>
  <c r="K86" i="3"/>
  <c r="K110" i="3"/>
  <c r="K74" i="3"/>
  <c r="K53" i="3"/>
  <c r="K41" i="3"/>
  <c r="K102" i="3"/>
  <c r="K54" i="3"/>
  <c r="K130" i="3"/>
  <c r="K112" i="3"/>
  <c r="K121" i="3"/>
  <c r="K113" i="3"/>
  <c r="K55" i="3"/>
  <c r="K91" i="3"/>
  <c r="K131" i="3"/>
  <c r="K92" i="3"/>
  <c r="K93" i="3"/>
  <c r="K65" i="3"/>
  <c r="K43" i="3"/>
  <c r="K104" i="3"/>
  <c r="K94" i="3"/>
  <c r="K44" i="3"/>
  <c r="K75" i="3"/>
  <c r="K58" i="3"/>
  <c r="K76" i="3"/>
  <c r="K33" i="3"/>
  <c r="K66" i="3"/>
  <c r="K67" i="3"/>
  <c r="K105" i="3"/>
  <c r="K115" i="3"/>
  <c r="K59" i="3"/>
  <c r="K45" i="3"/>
  <c r="K60" i="3"/>
  <c r="K95" i="3"/>
  <c r="J34" i="3"/>
  <c r="H8" i="3"/>
  <c r="J106" i="3"/>
  <c r="K34" i="3"/>
  <c r="K77" i="3"/>
  <c r="K96" i="3"/>
  <c r="K35" i="3"/>
  <c r="K78" i="3"/>
  <c r="K97" i="3"/>
  <c r="K117" i="3"/>
  <c r="K124" i="3"/>
  <c r="K107" i="3"/>
  <c r="K48" i="3"/>
  <c r="K98" i="3"/>
  <c r="K61" i="3"/>
  <c r="K108" i="3"/>
  <c r="K125" i="3"/>
  <c r="K50" i="3"/>
  <c r="K51" i="3"/>
  <c r="K62" i="3"/>
  <c r="K36" i="3"/>
  <c r="K72" i="3"/>
  <c r="K52" i="3"/>
  <c r="K85" i="3"/>
  <c r="K127" i="3"/>
  <c r="K73" i="3"/>
  <c r="K100" i="3"/>
  <c r="K38" i="3"/>
  <c r="K39" i="3"/>
  <c r="K101" i="3"/>
  <c r="K87" i="3"/>
  <c r="K40" i="3"/>
  <c r="K111" i="3"/>
  <c r="K88" i="3"/>
  <c r="K64" i="3"/>
  <c r="K120" i="3"/>
  <c r="K89" i="3"/>
  <c r="K90" i="3"/>
  <c r="K122" i="3"/>
  <c r="K56" i="3"/>
  <c r="K42" i="3"/>
  <c r="K114" i="3"/>
  <c r="K132" i="3"/>
  <c r="K57" i="3"/>
  <c r="K103" i="3"/>
  <c r="K104" i="4"/>
  <c r="K85" i="4"/>
  <c r="K86" i="4"/>
  <c r="K115" i="4"/>
  <c r="K46" i="4"/>
  <c r="K35" i="4"/>
  <c r="K60" i="4"/>
  <c r="K116" i="4"/>
  <c r="K61" i="4"/>
  <c r="K117" i="4"/>
  <c r="K47" i="4"/>
  <c r="K118" i="4"/>
  <c r="K62" i="4"/>
  <c r="K98" i="4"/>
  <c r="K36" i="4"/>
  <c r="H7" i="4"/>
  <c r="H11" i="4" s="1"/>
  <c r="J104" i="4"/>
  <c r="J63" i="4"/>
  <c r="K71" i="4"/>
  <c r="K48" i="4"/>
  <c r="K79" i="4"/>
  <c r="K37" i="4"/>
  <c r="K72" i="4"/>
  <c r="K38" i="4"/>
  <c r="K49" i="4"/>
  <c r="K73" i="4"/>
  <c r="K80" i="4"/>
  <c r="K92" i="4"/>
  <c r="K124" i="4"/>
  <c r="K125" i="4"/>
  <c r="K50" i="4"/>
  <c r="K126" i="4"/>
  <c r="K40" i="4"/>
  <c r="K89" i="4"/>
  <c r="K41" i="4"/>
  <c r="K52" i="4"/>
  <c r="K127" i="4"/>
  <c r="K121" i="4"/>
  <c r="K53" i="4"/>
  <c r="K66" i="4"/>
  <c r="K54" i="4"/>
  <c r="K55" i="4"/>
  <c r="K122" i="4"/>
  <c r="K81" i="4"/>
  <c r="K44" i="4"/>
  <c r="K75" i="4"/>
  <c r="K56" i="4"/>
  <c r="K57" i="4"/>
  <c r="K33" i="4"/>
  <c r="K67" i="4"/>
  <c r="K76" i="4"/>
  <c r="K111" i="4"/>
  <c r="K112" i="4"/>
  <c r="K34" i="4"/>
  <c r="K130" i="4"/>
  <c r="K69" i="4"/>
  <c r="K131" i="4"/>
  <c r="K113" i="4"/>
  <c r="K114" i="4"/>
  <c r="K70" i="4"/>
  <c r="G6" i="4"/>
  <c r="G5" i="4"/>
  <c r="G4" i="4"/>
  <c r="F5" i="4"/>
  <c r="E7" i="4"/>
  <c r="E28" i="4"/>
  <c r="F4" i="4"/>
  <c r="G4" i="3"/>
  <c r="F5" i="3"/>
  <c r="G6" i="3"/>
  <c r="G5" i="3"/>
  <c r="H11" i="3"/>
  <c r="E7" i="3"/>
  <c r="E28" i="3"/>
  <c r="F4" i="3"/>
  <c r="H17" i="3" l="1"/>
  <c r="H17" i="4"/>
  <c r="G7" i="4"/>
  <c r="F7" i="4"/>
  <c r="E29" i="4"/>
  <c r="E8" i="4"/>
  <c r="G7" i="3"/>
  <c r="F7" i="3"/>
  <c r="E29" i="3"/>
  <c r="E8" i="3"/>
  <c r="F8" i="4" l="1"/>
  <c r="G8" i="4"/>
  <c r="E9" i="4"/>
  <c r="F30" i="4"/>
  <c r="F8" i="3"/>
  <c r="G8" i="3"/>
  <c r="E9" i="3"/>
  <c r="F30" i="3"/>
  <c r="F9" i="4" l="1"/>
  <c r="G9" i="4"/>
  <c r="E10" i="4"/>
  <c r="F9" i="3"/>
  <c r="G9" i="3"/>
  <c r="E10" i="3"/>
  <c r="F10" i="4" l="1"/>
  <c r="G10" i="4"/>
  <c r="E11" i="4"/>
  <c r="F10" i="3"/>
  <c r="G10" i="3"/>
  <c r="E11" i="3"/>
  <c r="F11" i="4" l="1"/>
  <c r="G11" i="4"/>
  <c r="E12" i="4"/>
  <c r="F11" i="3"/>
  <c r="G11" i="3"/>
  <c r="E12" i="3"/>
  <c r="F12" i="4" l="1"/>
  <c r="G12" i="4"/>
  <c r="E13" i="4"/>
  <c r="F12" i="3"/>
  <c r="G12" i="3"/>
  <c r="E13" i="3"/>
  <c r="F13" i="4" l="1"/>
  <c r="G13" i="4"/>
  <c r="E14" i="4"/>
  <c r="F13" i="3"/>
  <c r="G13" i="3"/>
  <c r="E14" i="3"/>
  <c r="F14" i="4" l="1"/>
  <c r="G14" i="4"/>
  <c r="E15" i="4"/>
  <c r="F14" i="3"/>
  <c r="G14" i="3"/>
  <c r="E15" i="3"/>
  <c r="F15" i="4" l="1"/>
  <c r="G15" i="4"/>
  <c r="E16" i="4"/>
  <c r="F15" i="3"/>
  <c r="G15" i="3"/>
  <c r="E16" i="3"/>
  <c r="F16" i="4" l="1"/>
  <c r="G16" i="4"/>
  <c r="E17" i="4"/>
  <c r="F16" i="3"/>
  <c r="G16" i="3"/>
  <c r="E17" i="3"/>
  <c r="F17" i="4" l="1"/>
  <c r="G17" i="4"/>
  <c r="E18" i="4"/>
  <c r="F17" i="3"/>
  <c r="G17" i="3"/>
  <c r="E18" i="3"/>
  <c r="F18" i="4" l="1"/>
  <c r="G18" i="4"/>
  <c r="E19" i="4"/>
  <c r="F18" i="3"/>
  <c r="G18" i="3"/>
  <c r="E19" i="3"/>
  <c r="F19" i="4" l="1"/>
  <c r="G19" i="4"/>
  <c r="E20" i="4"/>
  <c r="F19" i="3"/>
  <c r="G19" i="3"/>
  <c r="E20" i="3"/>
  <c r="F20" i="4" l="1"/>
  <c r="G20" i="4"/>
  <c r="E21" i="4"/>
  <c r="F20" i="3"/>
  <c r="G20" i="3"/>
  <c r="E21" i="3"/>
  <c r="F21" i="4" l="1"/>
  <c r="G21" i="4"/>
  <c r="E22" i="4"/>
  <c r="F21" i="3"/>
  <c r="G21" i="3"/>
  <c r="E22" i="3"/>
  <c r="F22" i="4" l="1"/>
  <c r="G22" i="4"/>
  <c r="E23" i="4"/>
  <c r="F22" i="3"/>
  <c r="G22" i="3"/>
  <c r="E23" i="3"/>
  <c r="F23" i="4" l="1"/>
  <c r="G23" i="4"/>
  <c r="E24" i="4"/>
  <c r="F23" i="3"/>
  <c r="G23" i="3"/>
  <c r="E24" i="3"/>
  <c r="F24" i="4" l="1"/>
  <c r="G24" i="4"/>
  <c r="G25" i="4" s="1"/>
  <c r="F25" i="4"/>
  <c r="F24" i="3"/>
  <c r="G24" i="3"/>
  <c r="G25" i="3" s="1"/>
  <c r="F25" i="3"/>
</calcChain>
</file>

<file path=xl/sharedStrings.xml><?xml version="1.0" encoding="utf-8"?>
<sst xmlns="http://schemas.openxmlformats.org/spreadsheetml/2006/main" count="493" uniqueCount="71">
  <si>
    <t>Code</t>
  </si>
  <si>
    <t>Beschreibung</t>
  </si>
  <si>
    <t>Anzahl</t>
  </si>
  <si>
    <t>Übersicht</t>
  </si>
  <si>
    <t>Datensätze</t>
  </si>
  <si>
    <t>Codestufenspalte</t>
  </si>
  <si>
    <t>Variablen</t>
  </si>
  <si>
    <t>Verbatims</t>
  </si>
  <si>
    <t>Zuordnungen</t>
  </si>
  <si>
    <t>Nennungen</t>
  </si>
  <si>
    <t>Status</t>
  </si>
  <si>
    <t>Anzahl Zuordnungen</t>
  </si>
  <si>
    <t>Anzahl ohne Zuordnung</t>
  </si>
  <si>
    <t>Anzahl Zuordnungen ohne Verbatim</t>
  </si>
  <si>
    <t>Codestufen Name</t>
  </si>
  <si>
    <t>Codestufen Anzahl</t>
  </si>
  <si>
    <t>Letzte Zeile</t>
  </si>
  <si>
    <t>Feste</t>
  </si>
  <si>
    <t>Werte</t>
  </si>
  <si>
    <t>ab</t>
  </si>
  <si>
    <t>B1:B100</t>
  </si>
  <si>
    <t>C1:C100</t>
  </si>
  <si>
    <t>Q6</t>
  </si>
  <si>
    <t>Orig. Variable</t>
  </si>
  <si>
    <t>ID</t>
  </si>
  <si>
    <t>Antwort</t>
  </si>
  <si>
    <t>Zuord 1</t>
  </si>
  <si>
    <t>Verbatim?</t>
  </si>
  <si>
    <t>Zuordnungen?</t>
  </si>
  <si>
    <t>Ohne Zuordnung</t>
  </si>
  <si>
    <t>Zuord. ohne Verb.</t>
  </si>
  <si>
    <t>CalcV1</t>
  </si>
  <si>
    <t>CalcV2</t>
  </si>
  <si>
    <t>CalcV3</t>
  </si>
  <si>
    <t>Calc1 Zuord 1</t>
  </si>
  <si>
    <t>Calc2 Zuord 1</t>
  </si>
  <si>
    <t>Calc3 Zuord 1</t>
  </si>
  <si>
    <t>CalcN1</t>
  </si>
  <si>
    <t>CalcN2</t>
  </si>
  <si>
    <t>CalcN3</t>
  </si>
  <si>
    <t>Q7</t>
  </si>
  <si>
    <t>q7</t>
  </si>
  <si>
    <t>bla bla bla anger</t>
  </si>
  <si>
    <t>bla bla bla sadness</t>
  </si>
  <si>
    <t>bla bla anger</t>
  </si>
  <si>
    <t>bla fear</t>
  </si>
  <si>
    <t>bla pain</t>
  </si>
  <si>
    <t>bla bla sadness</t>
  </si>
  <si>
    <t>bla bla bla fear</t>
  </si>
  <si>
    <t>bla bla pain</t>
  </si>
  <si>
    <t>bla bla fear</t>
  </si>
  <si>
    <t>bla bla bla pain</t>
  </si>
  <si>
    <t>bla anger</t>
  </si>
  <si>
    <t>bla sadness</t>
  </si>
  <si>
    <t>q6</t>
  </si>
  <si>
    <t>bla bla bla love</t>
  </si>
  <si>
    <t>bla bla happiness</t>
  </si>
  <si>
    <t>bla joy</t>
  </si>
  <si>
    <t>bla bla joy</t>
  </si>
  <si>
    <t>bla happiness</t>
  </si>
  <si>
    <t>bla love</t>
  </si>
  <si>
    <t>bla bla love</t>
  </si>
  <si>
    <t>bla bla bla joy</t>
  </si>
  <si>
    <t>bla bla bla happiness</t>
  </si>
  <si>
    <t xml:space="preserve">love </t>
  </si>
  <si>
    <t xml:space="preserve">joy </t>
  </si>
  <si>
    <t>happiness</t>
  </si>
  <si>
    <t xml:space="preserve">sadness </t>
  </si>
  <si>
    <t>fear</t>
  </si>
  <si>
    <t>anger</t>
  </si>
  <si>
    <t>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</si>
</sst>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10"/>
      <color theme="0"/>
      <name val="Arial"/>
      <family val="2"/>
    </font>
    <font>
      <b/>
      <sz val="8"/>
      <color theme="4" tint="0.59999389629810485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8"/>
      <color theme="10"/>
      <name val="Arial"/>
      <family val="2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0" fillId="0" borderId="0" xfId="0" applyFill="1"/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 wrapText="1"/>
    </xf>
    <xf numFmtId="0" fontId="5" fillId="5" borderId="0" xfId="1" applyFont="1" applyFill="1" applyAlignment="1">
      <alignment vertical="center"/>
    </xf>
    <xf numFmtId="0" fontId="4" fillId="5" borderId="0" xfId="1" applyFill="1" applyAlignment="1">
      <alignment vertical="center"/>
    </xf>
    <xf numFmtId="0" fontId="7" fillId="5" borderId="0" xfId="2" applyFont="1" applyFill="1" applyAlignment="1">
      <alignment vertical="center"/>
    </xf>
    <xf numFmtId="0" fontId="8" fillId="5" borderId="0" xfId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9" fillId="4" borderId="1" xfId="1" applyFont="1" applyFill="1" applyBorder="1" applyAlignment="1" applyProtection="1">
      <alignment vertical="center"/>
      <protection locked="0"/>
    </xf>
    <xf numFmtId="0" fontId="10" fillId="4" borderId="1" xfId="1" applyFont="1" applyFill="1" applyBorder="1" applyAlignment="1">
      <alignment vertical="center"/>
    </xf>
    <xf numFmtId="0" fontId="10" fillId="4" borderId="1" xfId="1" applyFont="1" applyFill="1" applyBorder="1" applyAlignment="1">
      <alignment horizontal="center" vertical="center"/>
    </xf>
    <xf numFmtId="0" fontId="10" fillId="5" borderId="0" xfId="1" applyFont="1" applyFill="1" applyAlignment="1">
      <alignment vertical="center"/>
    </xf>
    <xf numFmtId="0" fontId="11" fillId="5" borderId="0" xfId="1" applyFont="1" applyFill="1" applyAlignment="1">
      <alignment vertical="center"/>
    </xf>
    <xf numFmtId="0" fontId="11" fillId="6" borderId="2" xfId="1" applyFont="1" applyFill="1" applyBorder="1" applyAlignment="1">
      <alignment vertical="center" wrapText="1"/>
    </xf>
    <xf numFmtId="0" fontId="11" fillId="7" borderId="2" xfId="1" applyFont="1" applyFill="1" applyBorder="1" applyAlignment="1">
      <alignment vertical="center" wrapText="1"/>
    </xf>
    <xf numFmtId="0" fontId="12" fillId="7" borderId="2" xfId="2" applyFont="1" applyFill="1" applyBorder="1" applyAlignment="1">
      <alignment horizontal="left" vertical="center" wrapText="1"/>
    </xf>
    <xf numFmtId="0" fontId="10" fillId="8" borderId="0" xfId="1" applyFont="1" applyFill="1" applyAlignment="1">
      <alignment horizontal="center" vertical="center" wrapText="1"/>
    </xf>
    <xf numFmtId="0" fontId="11" fillId="5" borderId="0" xfId="1" applyFont="1" applyFill="1" applyAlignment="1">
      <alignment horizontal="left" vertical="center" wrapText="1"/>
    </xf>
    <xf numFmtId="0" fontId="11" fillId="5" borderId="0" xfId="1" applyFont="1" applyFill="1" applyAlignment="1">
      <alignment horizontal="center" vertical="center" wrapText="1"/>
    </xf>
    <xf numFmtId="0" fontId="11" fillId="7" borderId="3" xfId="1" applyFont="1" applyFill="1" applyBorder="1" applyAlignment="1">
      <alignment vertical="center" wrapText="1"/>
    </xf>
    <xf numFmtId="0" fontId="11" fillId="7" borderId="0" xfId="1" applyFont="1" applyFill="1" applyAlignment="1">
      <alignment vertical="center" wrapText="1"/>
    </xf>
    <xf numFmtId="0" fontId="11" fillId="7" borderId="1" xfId="1" applyFont="1" applyFill="1" applyBorder="1" applyAlignment="1" applyProtection="1">
      <alignment vertical="center" wrapText="1"/>
      <protection locked="0"/>
    </xf>
    <xf numFmtId="0" fontId="0" fillId="0" borderId="0" xfId="0" applyFill="1" applyProtection="1">
      <protection locked="0"/>
    </xf>
    <xf numFmtId="0" fontId="2" fillId="9" borderId="0" xfId="0" applyFont="1" applyFill="1" applyAlignment="1" applyProtection="1">
      <alignment vertical="center"/>
      <protection locked="0"/>
    </xf>
    <xf numFmtId="0" fontId="2" fillId="10" borderId="0" xfId="0" applyFont="1" applyFill="1" applyAlignment="1" applyProtection="1">
      <alignment vertical="center"/>
      <protection locked="0"/>
    </xf>
    <xf numFmtId="0" fontId="13" fillId="11" borderId="0" xfId="0" applyFont="1" applyFill="1" applyAlignment="1">
      <alignment wrapText="1"/>
    </xf>
    <xf numFmtId="0" fontId="13" fillId="11" borderId="0" xfId="2" applyFont="1" applyFill="1" applyAlignment="1">
      <alignment wrapText="1"/>
    </xf>
    <xf numFmtId="0" fontId="3" fillId="4" borderId="0" xfId="0" applyFont="1" applyFill="1" applyAlignment="1" applyProtection="1">
      <alignment vertical="center" wrapText="1"/>
      <protection locked="0"/>
    </xf>
    <xf numFmtId="0" fontId="2" fillId="10" borderId="0" xfId="0" applyFont="1" applyFill="1" applyAlignment="1" applyProtection="1">
      <alignment vertical="center" wrapText="1"/>
      <protection locked="0"/>
    </xf>
  </cellXfs>
  <cellStyles count="3">
    <cellStyle name="Link" xfId="2" builtinId="8"/>
    <cellStyle name="Standard" xfId="0" builtinId="0"/>
    <cellStyle name="Standard 2" xfId="1"/>
  </cellStyles>
  <dxfs count="4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Spin" dx="22" fmlaLink="D3" max="4" page="10" val="4"/>
</file>

<file path=xl/ctrlProps/ctrlProp2.xml><?xml version="1.0" encoding="utf-8"?>
<formControlPr xmlns="http://schemas.microsoft.com/office/spreadsheetml/2009/9/main" objectType="Spin" dx="22" fmlaLink="D3" max="4" page="10" val="4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4</xdr:row>
          <xdr:rowOff>0</xdr:rowOff>
        </xdr:from>
        <xdr:to>
          <xdr:col>4</xdr:col>
          <xdr:colOff>0</xdr:colOff>
          <xdr:row>24</xdr:row>
          <xdr:rowOff>0</xdr:rowOff>
        </xdr:to>
        <xdr:sp macro="" textlink="">
          <xdr:nvSpPr>
            <xdr:cNvPr id="3073" name="Spinner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4</xdr:row>
          <xdr:rowOff>0</xdr:rowOff>
        </xdr:from>
        <xdr:to>
          <xdr:col>4</xdr:col>
          <xdr:colOff>0</xdr:colOff>
          <xdr:row>24</xdr:row>
          <xdr:rowOff>0</xdr:rowOff>
        </xdr:to>
        <xdr:sp macro="" textlink="">
          <xdr:nvSpPr>
            <xdr:cNvPr id="4097" name="Spinner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showRowColHeader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6" sqref="C6"/>
    </sheetView>
  </sheetViews>
  <sheetFormatPr baseColWidth="10" defaultRowHeight="15" x14ac:dyDescent="0.25"/>
  <cols>
    <col min="1" max="16384" width="11.42578125" style="1"/>
  </cols>
  <sheetData>
    <row r="1" spans="1:3" s="27" customFormat="1" x14ac:dyDescent="0.25">
      <c r="B1" s="28" t="str">
        <f>HYPERLINK("#'Q6'!D1","Q6")</f>
        <v>Q6</v>
      </c>
      <c r="C1" s="28" t="str">
        <f>HYPERLINK("#'Q7'!D1","Q7")</f>
        <v>Q7</v>
      </c>
    </row>
    <row r="2" spans="1:3" x14ac:dyDescent="0.25">
      <c r="A2" s="2">
        <v>1</v>
      </c>
      <c r="B2" s="24" t="s">
        <v>64</v>
      </c>
      <c r="C2" s="24" t="s">
        <v>67</v>
      </c>
    </row>
    <row r="3" spans="1:3" x14ac:dyDescent="0.25">
      <c r="A3" s="2">
        <f t="shared" ref="A3:A66" si="0">A2+1</f>
        <v>2</v>
      </c>
      <c r="B3" s="24" t="s">
        <v>65</v>
      </c>
      <c r="C3" s="24" t="s">
        <v>68</v>
      </c>
    </row>
    <row r="4" spans="1:3" x14ac:dyDescent="0.25">
      <c r="A4" s="2">
        <f t="shared" si="0"/>
        <v>3</v>
      </c>
      <c r="B4" s="24" t="s">
        <v>66</v>
      </c>
      <c r="C4" s="24" t="s">
        <v>69</v>
      </c>
    </row>
    <row r="5" spans="1:3" x14ac:dyDescent="0.25">
      <c r="A5" s="2">
        <f t="shared" si="0"/>
        <v>4</v>
      </c>
      <c r="B5" s="24"/>
      <c r="C5" s="24" t="s">
        <v>70</v>
      </c>
    </row>
    <row r="6" spans="1:3" x14ac:dyDescent="0.25">
      <c r="A6" s="2">
        <f t="shared" si="0"/>
        <v>5</v>
      </c>
      <c r="B6" s="24"/>
      <c r="C6" s="24"/>
    </row>
    <row r="7" spans="1:3" x14ac:dyDescent="0.25">
      <c r="A7" s="2">
        <f t="shared" si="0"/>
        <v>6</v>
      </c>
      <c r="B7" s="24"/>
      <c r="C7" s="24"/>
    </row>
    <row r="8" spans="1:3" x14ac:dyDescent="0.25">
      <c r="A8" s="2">
        <f t="shared" si="0"/>
        <v>7</v>
      </c>
      <c r="B8" s="24"/>
      <c r="C8" s="24"/>
    </row>
    <row r="9" spans="1:3" x14ac:dyDescent="0.25">
      <c r="A9" s="2">
        <f t="shared" si="0"/>
        <v>8</v>
      </c>
      <c r="B9" s="24"/>
      <c r="C9" s="24"/>
    </row>
    <row r="10" spans="1:3" x14ac:dyDescent="0.25">
      <c r="A10" s="2">
        <f t="shared" si="0"/>
        <v>9</v>
      </c>
      <c r="B10" s="24"/>
      <c r="C10" s="24"/>
    </row>
    <row r="11" spans="1:3" x14ac:dyDescent="0.25">
      <c r="A11" s="2">
        <f t="shared" si="0"/>
        <v>10</v>
      </c>
      <c r="B11" s="24"/>
      <c r="C11" s="24"/>
    </row>
    <row r="12" spans="1:3" x14ac:dyDescent="0.25">
      <c r="A12" s="2">
        <f t="shared" si="0"/>
        <v>11</v>
      </c>
      <c r="B12" s="24"/>
      <c r="C12" s="24"/>
    </row>
    <row r="13" spans="1:3" x14ac:dyDescent="0.25">
      <c r="A13" s="2">
        <f t="shared" si="0"/>
        <v>12</v>
      </c>
      <c r="B13" s="24"/>
      <c r="C13" s="24"/>
    </row>
    <row r="14" spans="1:3" x14ac:dyDescent="0.25">
      <c r="A14" s="2">
        <f t="shared" si="0"/>
        <v>13</v>
      </c>
      <c r="B14" s="24"/>
      <c r="C14" s="24"/>
    </row>
    <row r="15" spans="1:3" x14ac:dyDescent="0.25">
      <c r="A15" s="2">
        <f t="shared" si="0"/>
        <v>14</v>
      </c>
      <c r="B15" s="24"/>
      <c r="C15" s="24"/>
    </row>
    <row r="16" spans="1:3" x14ac:dyDescent="0.25">
      <c r="A16" s="2">
        <f t="shared" si="0"/>
        <v>15</v>
      </c>
      <c r="B16" s="24"/>
      <c r="C16" s="24"/>
    </row>
    <row r="17" spans="1:3" x14ac:dyDescent="0.25">
      <c r="A17" s="2">
        <f t="shared" si="0"/>
        <v>16</v>
      </c>
      <c r="B17" s="24"/>
      <c r="C17" s="24"/>
    </row>
    <row r="18" spans="1:3" x14ac:dyDescent="0.25">
      <c r="A18" s="2">
        <f t="shared" si="0"/>
        <v>17</v>
      </c>
      <c r="B18" s="24"/>
      <c r="C18" s="24"/>
    </row>
    <row r="19" spans="1:3" x14ac:dyDescent="0.25">
      <c r="A19" s="2">
        <f t="shared" si="0"/>
        <v>18</v>
      </c>
      <c r="B19" s="24"/>
      <c r="C19" s="24"/>
    </row>
    <row r="20" spans="1:3" x14ac:dyDescent="0.25">
      <c r="A20" s="2">
        <f t="shared" si="0"/>
        <v>19</v>
      </c>
      <c r="B20" s="24"/>
      <c r="C20" s="24"/>
    </row>
    <row r="21" spans="1:3" x14ac:dyDescent="0.25">
      <c r="A21" s="2">
        <f t="shared" si="0"/>
        <v>20</v>
      </c>
      <c r="B21" s="24"/>
      <c r="C21" s="24"/>
    </row>
    <row r="22" spans="1:3" x14ac:dyDescent="0.25">
      <c r="A22" s="2">
        <f t="shared" si="0"/>
        <v>21</v>
      </c>
      <c r="B22" s="24"/>
      <c r="C22" s="24"/>
    </row>
    <row r="23" spans="1:3" x14ac:dyDescent="0.25">
      <c r="A23" s="2">
        <f t="shared" si="0"/>
        <v>22</v>
      </c>
      <c r="B23" s="24"/>
      <c r="C23" s="24"/>
    </row>
    <row r="24" spans="1:3" x14ac:dyDescent="0.25">
      <c r="A24" s="2">
        <f t="shared" si="0"/>
        <v>23</v>
      </c>
      <c r="B24" s="24"/>
      <c r="C24" s="24"/>
    </row>
    <row r="25" spans="1:3" x14ac:dyDescent="0.25">
      <c r="A25" s="2">
        <f t="shared" si="0"/>
        <v>24</v>
      </c>
      <c r="B25" s="24"/>
      <c r="C25" s="24"/>
    </row>
    <row r="26" spans="1:3" x14ac:dyDescent="0.25">
      <c r="A26" s="2">
        <f t="shared" si="0"/>
        <v>25</v>
      </c>
      <c r="B26" s="24"/>
      <c r="C26" s="24"/>
    </row>
    <row r="27" spans="1:3" x14ac:dyDescent="0.25">
      <c r="A27" s="2">
        <f t="shared" si="0"/>
        <v>26</v>
      </c>
      <c r="B27" s="24"/>
      <c r="C27" s="24"/>
    </row>
    <row r="28" spans="1:3" x14ac:dyDescent="0.25">
      <c r="A28" s="2">
        <f t="shared" si="0"/>
        <v>27</v>
      </c>
      <c r="B28" s="24"/>
      <c r="C28" s="24"/>
    </row>
    <row r="29" spans="1:3" x14ac:dyDescent="0.25">
      <c r="A29" s="2">
        <f t="shared" si="0"/>
        <v>28</v>
      </c>
      <c r="B29" s="24"/>
      <c r="C29" s="24"/>
    </row>
    <row r="30" spans="1:3" x14ac:dyDescent="0.25">
      <c r="A30" s="2">
        <f t="shared" si="0"/>
        <v>29</v>
      </c>
      <c r="B30" s="24"/>
      <c r="C30" s="24"/>
    </row>
    <row r="31" spans="1:3" x14ac:dyDescent="0.25">
      <c r="A31" s="2">
        <f t="shared" si="0"/>
        <v>30</v>
      </c>
      <c r="B31" s="24"/>
      <c r="C31" s="24"/>
    </row>
    <row r="32" spans="1:3" x14ac:dyDescent="0.25">
      <c r="A32" s="2">
        <f t="shared" si="0"/>
        <v>31</v>
      </c>
      <c r="B32" s="24"/>
      <c r="C32" s="24"/>
    </row>
    <row r="33" spans="1:3" x14ac:dyDescent="0.25">
      <c r="A33" s="2">
        <f t="shared" si="0"/>
        <v>32</v>
      </c>
      <c r="B33" s="24"/>
      <c r="C33" s="24"/>
    </row>
    <row r="34" spans="1:3" x14ac:dyDescent="0.25">
      <c r="A34" s="2">
        <f t="shared" si="0"/>
        <v>33</v>
      </c>
      <c r="B34" s="24"/>
      <c r="C34" s="24"/>
    </row>
    <row r="35" spans="1:3" x14ac:dyDescent="0.25">
      <c r="A35" s="2">
        <f t="shared" si="0"/>
        <v>34</v>
      </c>
      <c r="B35" s="24"/>
      <c r="C35" s="24"/>
    </row>
    <row r="36" spans="1:3" x14ac:dyDescent="0.25">
      <c r="A36" s="2">
        <f t="shared" si="0"/>
        <v>35</v>
      </c>
      <c r="B36" s="24"/>
      <c r="C36" s="24"/>
    </row>
    <row r="37" spans="1:3" x14ac:dyDescent="0.25">
      <c r="A37" s="2">
        <f t="shared" si="0"/>
        <v>36</v>
      </c>
      <c r="B37" s="24"/>
      <c r="C37" s="24"/>
    </row>
    <row r="38" spans="1:3" x14ac:dyDescent="0.25">
      <c r="A38" s="2">
        <f t="shared" si="0"/>
        <v>37</v>
      </c>
      <c r="B38" s="24"/>
      <c r="C38" s="24"/>
    </row>
    <row r="39" spans="1:3" x14ac:dyDescent="0.25">
      <c r="A39" s="2">
        <f t="shared" si="0"/>
        <v>38</v>
      </c>
      <c r="B39" s="24"/>
      <c r="C39" s="24"/>
    </row>
    <row r="40" spans="1:3" x14ac:dyDescent="0.25">
      <c r="A40" s="2">
        <f t="shared" si="0"/>
        <v>39</v>
      </c>
      <c r="B40" s="24"/>
      <c r="C40" s="24"/>
    </row>
    <row r="41" spans="1:3" x14ac:dyDescent="0.25">
      <c r="A41" s="2">
        <f t="shared" si="0"/>
        <v>40</v>
      </c>
      <c r="B41" s="24"/>
      <c r="C41" s="24"/>
    </row>
    <row r="42" spans="1:3" x14ac:dyDescent="0.25">
      <c r="A42" s="2">
        <f t="shared" si="0"/>
        <v>41</v>
      </c>
      <c r="B42" s="24"/>
      <c r="C42" s="24"/>
    </row>
    <row r="43" spans="1:3" x14ac:dyDescent="0.25">
      <c r="A43" s="2">
        <f t="shared" si="0"/>
        <v>42</v>
      </c>
      <c r="B43" s="24"/>
      <c r="C43" s="24"/>
    </row>
    <row r="44" spans="1:3" x14ac:dyDescent="0.25">
      <c r="A44" s="2">
        <f t="shared" si="0"/>
        <v>43</v>
      </c>
      <c r="B44" s="24"/>
      <c r="C44" s="24"/>
    </row>
    <row r="45" spans="1:3" x14ac:dyDescent="0.25">
      <c r="A45" s="2">
        <f t="shared" si="0"/>
        <v>44</v>
      </c>
      <c r="B45" s="24"/>
      <c r="C45" s="24"/>
    </row>
    <row r="46" spans="1:3" x14ac:dyDescent="0.25">
      <c r="A46" s="2">
        <f t="shared" si="0"/>
        <v>45</v>
      </c>
      <c r="B46" s="24"/>
      <c r="C46" s="24"/>
    </row>
    <row r="47" spans="1:3" x14ac:dyDescent="0.25">
      <c r="A47" s="2">
        <f t="shared" si="0"/>
        <v>46</v>
      </c>
      <c r="B47" s="24"/>
      <c r="C47" s="24"/>
    </row>
    <row r="48" spans="1:3" x14ac:dyDescent="0.25">
      <c r="A48" s="2">
        <f t="shared" si="0"/>
        <v>47</v>
      </c>
      <c r="B48" s="24"/>
      <c r="C48" s="24"/>
    </row>
    <row r="49" spans="1:3" x14ac:dyDescent="0.25">
      <c r="A49" s="2">
        <f t="shared" si="0"/>
        <v>48</v>
      </c>
      <c r="B49" s="24"/>
      <c r="C49" s="24"/>
    </row>
    <row r="50" spans="1:3" x14ac:dyDescent="0.25">
      <c r="A50" s="2">
        <f t="shared" si="0"/>
        <v>49</v>
      </c>
      <c r="B50" s="24"/>
      <c r="C50" s="24"/>
    </row>
    <row r="51" spans="1:3" x14ac:dyDescent="0.25">
      <c r="A51" s="2">
        <f t="shared" si="0"/>
        <v>50</v>
      </c>
      <c r="B51" s="24"/>
      <c r="C51" s="24"/>
    </row>
    <row r="52" spans="1:3" x14ac:dyDescent="0.25">
      <c r="A52" s="2">
        <f t="shared" si="0"/>
        <v>51</v>
      </c>
      <c r="B52" s="24"/>
      <c r="C52" s="24"/>
    </row>
    <row r="53" spans="1:3" x14ac:dyDescent="0.25">
      <c r="A53" s="2">
        <f t="shared" si="0"/>
        <v>52</v>
      </c>
      <c r="B53" s="24"/>
      <c r="C53" s="24"/>
    </row>
    <row r="54" spans="1:3" x14ac:dyDescent="0.25">
      <c r="A54" s="2">
        <f t="shared" si="0"/>
        <v>53</v>
      </c>
      <c r="B54" s="24"/>
      <c r="C54" s="24"/>
    </row>
    <row r="55" spans="1:3" x14ac:dyDescent="0.25">
      <c r="A55" s="2">
        <f t="shared" si="0"/>
        <v>54</v>
      </c>
      <c r="B55" s="24"/>
      <c r="C55" s="24"/>
    </row>
    <row r="56" spans="1:3" x14ac:dyDescent="0.25">
      <c r="A56" s="2">
        <f t="shared" si="0"/>
        <v>55</v>
      </c>
      <c r="B56" s="24"/>
      <c r="C56" s="24"/>
    </row>
    <row r="57" spans="1:3" x14ac:dyDescent="0.25">
      <c r="A57" s="2">
        <f t="shared" si="0"/>
        <v>56</v>
      </c>
      <c r="B57" s="24"/>
      <c r="C57" s="24"/>
    </row>
    <row r="58" spans="1:3" x14ac:dyDescent="0.25">
      <c r="A58" s="2">
        <f t="shared" si="0"/>
        <v>57</v>
      </c>
      <c r="B58" s="24"/>
      <c r="C58" s="24"/>
    </row>
    <row r="59" spans="1:3" x14ac:dyDescent="0.25">
      <c r="A59" s="2">
        <f t="shared" si="0"/>
        <v>58</v>
      </c>
      <c r="B59" s="24"/>
      <c r="C59" s="24"/>
    </row>
    <row r="60" spans="1:3" x14ac:dyDescent="0.25">
      <c r="A60" s="2">
        <f t="shared" si="0"/>
        <v>59</v>
      </c>
      <c r="B60" s="24"/>
      <c r="C60" s="24"/>
    </row>
    <row r="61" spans="1:3" x14ac:dyDescent="0.25">
      <c r="A61" s="2">
        <f t="shared" si="0"/>
        <v>60</v>
      </c>
      <c r="B61" s="24"/>
      <c r="C61" s="24"/>
    </row>
    <row r="62" spans="1:3" x14ac:dyDescent="0.25">
      <c r="A62" s="2">
        <f t="shared" si="0"/>
        <v>61</v>
      </c>
      <c r="B62" s="24"/>
      <c r="C62" s="24"/>
    </row>
    <row r="63" spans="1:3" x14ac:dyDescent="0.25">
      <c r="A63" s="2">
        <f t="shared" si="0"/>
        <v>62</v>
      </c>
      <c r="B63" s="24"/>
      <c r="C63" s="24"/>
    </row>
    <row r="64" spans="1:3" x14ac:dyDescent="0.25">
      <c r="A64" s="2">
        <f t="shared" si="0"/>
        <v>63</v>
      </c>
      <c r="B64" s="24"/>
      <c r="C64" s="24"/>
    </row>
    <row r="65" spans="1:3" x14ac:dyDescent="0.25">
      <c r="A65" s="2">
        <f t="shared" si="0"/>
        <v>64</v>
      </c>
      <c r="B65" s="24"/>
      <c r="C65" s="24"/>
    </row>
    <row r="66" spans="1:3" x14ac:dyDescent="0.25">
      <c r="A66" s="2">
        <f t="shared" si="0"/>
        <v>65</v>
      </c>
      <c r="B66" s="24"/>
      <c r="C66" s="24"/>
    </row>
    <row r="67" spans="1:3" x14ac:dyDescent="0.25">
      <c r="A67" s="2">
        <f t="shared" ref="A67:A130" si="1">A66+1</f>
        <v>66</v>
      </c>
      <c r="B67" s="24"/>
      <c r="C67" s="24"/>
    </row>
    <row r="68" spans="1:3" x14ac:dyDescent="0.25">
      <c r="A68" s="2">
        <f t="shared" si="1"/>
        <v>67</v>
      </c>
      <c r="B68" s="24"/>
      <c r="C68" s="24"/>
    </row>
    <row r="69" spans="1:3" x14ac:dyDescent="0.25">
      <c r="A69" s="2">
        <f t="shared" si="1"/>
        <v>68</v>
      </c>
      <c r="B69" s="24"/>
      <c r="C69" s="24"/>
    </row>
    <row r="70" spans="1:3" x14ac:dyDescent="0.25">
      <c r="A70" s="2">
        <f t="shared" si="1"/>
        <v>69</v>
      </c>
      <c r="B70" s="24"/>
      <c r="C70" s="24"/>
    </row>
    <row r="71" spans="1:3" x14ac:dyDescent="0.25">
      <c r="A71" s="2">
        <f t="shared" si="1"/>
        <v>70</v>
      </c>
      <c r="B71" s="24"/>
      <c r="C71" s="24"/>
    </row>
    <row r="72" spans="1:3" x14ac:dyDescent="0.25">
      <c r="A72" s="2">
        <f t="shared" si="1"/>
        <v>71</v>
      </c>
      <c r="B72" s="24"/>
      <c r="C72" s="24"/>
    </row>
    <row r="73" spans="1:3" x14ac:dyDescent="0.25">
      <c r="A73" s="2">
        <f t="shared" si="1"/>
        <v>72</v>
      </c>
      <c r="B73" s="24"/>
      <c r="C73" s="24"/>
    </row>
    <row r="74" spans="1:3" x14ac:dyDescent="0.25">
      <c r="A74" s="2">
        <f t="shared" si="1"/>
        <v>73</v>
      </c>
      <c r="B74" s="24"/>
      <c r="C74" s="24"/>
    </row>
    <row r="75" spans="1:3" x14ac:dyDescent="0.25">
      <c r="A75" s="2">
        <f t="shared" si="1"/>
        <v>74</v>
      </c>
      <c r="B75" s="24"/>
      <c r="C75" s="24"/>
    </row>
    <row r="76" spans="1:3" x14ac:dyDescent="0.25">
      <c r="A76" s="2">
        <f t="shared" si="1"/>
        <v>75</v>
      </c>
      <c r="B76" s="24"/>
      <c r="C76" s="24"/>
    </row>
    <row r="77" spans="1:3" x14ac:dyDescent="0.25">
      <c r="A77" s="2">
        <f t="shared" si="1"/>
        <v>76</v>
      </c>
      <c r="B77" s="24"/>
      <c r="C77" s="24"/>
    </row>
    <row r="78" spans="1:3" x14ac:dyDescent="0.25">
      <c r="A78" s="2">
        <f t="shared" si="1"/>
        <v>77</v>
      </c>
      <c r="B78" s="24"/>
      <c r="C78" s="24"/>
    </row>
    <row r="79" spans="1:3" x14ac:dyDescent="0.25">
      <c r="A79" s="2">
        <f t="shared" si="1"/>
        <v>78</v>
      </c>
      <c r="B79" s="24"/>
      <c r="C79" s="24"/>
    </row>
    <row r="80" spans="1:3" x14ac:dyDescent="0.25">
      <c r="A80" s="2">
        <f t="shared" si="1"/>
        <v>79</v>
      </c>
      <c r="B80" s="24"/>
      <c r="C80" s="24"/>
    </row>
    <row r="81" spans="1:3" x14ac:dyDescent="0.25">
      <c r="A81" s="2">
        <f t="shared" si="1"/>
        <v>80</v>
      </c>
      <c r="B81" s="24"/>
      <c r="C81" s="24"/>
    </row>
    <row r="82" spans="1:3" x14ac:dyDescent="0.25">
      <c r="A82" s="2">
        <f t="shared" si="1"/>
        <v>81</v>
      </c>
      <c r="B82" s="24"/>
      <c r="C82" s="24"/>
    </row>
    <row r="83" spans="1:3" x14ac:dyDescent="0.25">
      <c r="A83" s="2">
        <f t="shared" si="1"/>
        <v>82</v>
      </c>
      <c r="B83" s="24"/>
      <c r="C83" s="24"/>
    </row>
    <row r="84" spans="1:3" x14ac:dyDescent="0.25">
      <c r="A84" s="2">
        <f t="shared" si="1"/>
        <v>83</v>
      </c>
      <c r="B84" s="24"/>
      <c r="C84" s="24"/>
    </row>
    <row r="85" spans="1:3" x14ac:dyDescent="0.25">
      <c r="A85" s="2">
        <f t="shared" si="1"/>
        <v>84</v>
      </c>
      <c r="B85" s="24"/>
      <c r="C85" s="24"/>
    </row>
    <row r="86" spans="1:3" x14ac:dyDescent="0.25">
      <c r="A86" s="2">
        <f t="shared" si="1"/>
        <v>85</v>
      </c>
      <c r="B86" s="24"/>
      <c r="C86" s="24"/>
    </row>
    <row r="87" spans="1:3" x14ac:dyDescent="0.25">
      <c r="A87" s="2">
        <f t="shared" si="1"/>
        <v>86</v>
      </c>
      <c r="B87" s="24"/>
      <c r="C87" s="24"/>
    </row>
    <row r="88" spans="1:3" x14ac:dyDescent="0.25">
      <c r="A88" s="2">
        <f t="shared" si="1"/>
        <v>87</v>
      </c>
      <c r="B88" s="24"/>
      <c r="C88" s="24"/>
    </row>
    <row r="89" spans="1:3" x14ac:dyDescent="0.25">
      <c r="A89" s="2">
        <f t="shared" si="1"/>
        <v>88</v>
      </c>
      <c r="B89" s="24"/>
      <c r="C89" s="24"/>
    </row>
    <row r="90" spans="1:3" x14ac:dyDescent="0.25">
      <c r="A90" s="2">
        <f t="shared" si="1"/>
        <v>89</v>
      </c>
      <c r="B90" s="24"/>
      <c r="C90" s="24"/>
    </row>
    <row r="91" spans="1:3" x14ac:dyDescent="0.25">
      <c r="A91" s="2">
        <f t="shared" si="1"/>
        <v>90</v>
      </c>
      <c r="B91" s="24"/>
      <c r="C91" s="24"/>
    </row>
    <row r="92" spans="1:3" x14ac:dyDescent="0.25">
      <c r="A92" s="2">
        <f t="shared" si="1"/>
        <v>91</v>
      </c>
      <c r="B92" s="24"/>
      <c r="C92" s="24"/>
    </row>
    <row r="93" spans="1:3" x14ac:dyDescent="0.25">
      <c r="A93" s="2">
        <f t="shared" si="1"/>
        <v>92</v>
      </c>
      <c r="B93" s="24"/>
      <c r="C93" s="24"/>
    </row>
    <row r="94" spans="1:3" x14ac:dyDescent="0.25">
      <c r="A94" s="2">
        <f t="shared" si="1"/>
        <v>93</v>
      </c>
      <c r="B94" s="24"/>
      <c r="C94" s="24"/>
    </row>
    <row r="95" spans="1:3" x14ac:dyDescent="0.25">
      <c r="A95" s="2">
        <f t="shared" si="1"/>
        <v>94</v>
      </c>
      <c r="B95" s="24"/>
      <c r="C95" s="24"/>
    </row>
    <row r="96" spans="1:3" x14ac:dyDescent="0.25">
      <c r="A96" s="2">
        <f t="shared" si="1"/>
        <v>95</v>
      </c>
      <c r="B96" s="24"/>
      <c r="C96" s="24"/>
    </row>
    <row r="97" spans="1:3" x14ac:dyDescent="0.25">
      <c r="A97" s="2">
        <f t="shared" si="1"/>
        <v>96</v>
      </c>
      <c r="B97" s="24"/>
      <c r="C97" s="24"/>
    </row>
    <row r="98" spans="1:3" x14ac:dyDescent="0.25">
      <c r="A98" s="2">
        <f t="shared" si="1"/>
        <v>97</v>
      </c>
      <c r="B98" s="24"/>
      <c r="C98" s="24"/>
    </row>
    <row r="99" spans="1:3" x14ac:dyDescent="0.25">
      <c r="A99" s="2">
        <f t="shared" si="1"/>
        <v>98</v>
      </c>
      <c r="B99" s="24"/>
      <c r="C99" s="24"/>
    </row>
    <row r="100" spans="1:3" x14ac:dyDescent="0.25">
      <c r="A100" s="2">
        <f t="shared" si="1"/>
        <v>99</v>
      </c>
      <c r="B100" s="24"/>
      <c r="C100" s="24"/>
    </row>
    <row r="101" spans="1:3" x14ac:dyDescent="0.25">
      <c r="A101" s="2">
        <f t="shared" si="1"/>
        <v>100</v>
      </c>
    </row>
    <row r="102" spans="1:3" x14ac:dyDescent="0.25">
      <c r="A102" s="2">
        <f t="shared" si="1"/>
        <v>101</v>
      </c>
    </row>
    <row r="103" spans="1:3" x14ac:dyDescent="0.25">
      <c r="A103" s="2">
        <f t="shared" si="1"/>
        <v>102</v>
      </c>
    </row>
    <row r="104" spans="1:3" x14ac:dyDescent="0.25">
      <c r="A104" s="2">
        <f t="shared" si="1"/>
        <v>103</v>
      </c>
    </row>
    <row r="105" spans="1:3" x14ac:dyDescent="0.25">
      <c r="A105" s="2">
        <f t="shared" si="1"/>
        <v>104</v>
      </c>
    </row>
    <row r="106" spans="1:3" x14ac:dyDescent="0.25">
      <c r="A106" s="2">
        <f t="shared" si="1"/>
        <v>105</v>
      </c>
    </row>
    <row r="107" spans="1:3" x14ac:dyDescent="0.25">
      <c r="A107" s="2">
        <f t="shared" si="1"/>
        <v>106</v>
      </c>
    </row>
    <row r="108" spans="1:3" x14ac:dyDescent="0.25">
      <c r="A108" s="2">
        <f t="shared" si="1"/>
        <v>107</v>
      </c>
    </row>
    <row r="109" spans="1:3" x14ac:dyDescent="0.25">
      <c r="A109" s="2">
        <f t="shared" si="1"/>
        <v>108</v>
      </c>
    </row>
    <row r="110" spans="1:3" x14ac:dyDescent="0.25">
      <c r="A110" s="2">
        <f t="shared" si="1"/>
        <v>109</v>
      </c>
    </row>
    <row r="111" spans="1:3" x14ac:dyDescent="0.25">
      <c r="A111" s="2">
        <f t="shared" si="1"/>
        <v>110</v>
      </c>
    </row>
    <row r="112" spans="1:3" x14ac:dyDescent="0.25">
      <c r="A112" s="2">
        <f t="shared" si="1"/>
        <v>111</v>
      </c>
    </row>
    <row r="113" spans="1:1" x14ac:dyDescent="0.25">
      <c r="A113" s="2">
        <f t="shared" si="1"/>
        <v>112</v>
      </c>
    </row>
    <row r="114" spans="1:1" x14ac:dyDescent="0.25">
      <c r="A114" s="2">
        <f t="shared" si="1"/>
        <v>113</v>
      </c>
    </row>
    <row r="115" spans="1:1" x14ac:dyDescent="0.25">
      <c r="A115" s="2">
        <f t="shared" si="1"/>
        <v>114</v>
      </c>
    </row>
    <row r="116" spans="1:1" x14ac:dyDescent="0.25">
      <c r="A116" s="2">
        <f t="shared" si="1"/>
        <v>115</v>
      </c>
    </row>
    <row r="117" spans="1:1" x14ac:dyDescent="0.25">
      <c r="A117" s="2">
        <f t="shared" si="1"/>
        <v>116</v>
      </c>
    </row>
    <row r="118" spans="1:1" x14ac:dyDescent="0.25">
      <c r="A118" s="2">
        <f t="shared" si="1"/>
        <v>117</v>
      </c>
    </row>
    <row r="119" spans="1:1" x14ac:dyDescent="0.25">
      <c r="A119" s="2">
        <f t="shared" si="1"/>
        <v>118</v>
      </c>
    </row>
    <row r="120" spans="1:1" x14ac:dyDescent="0.25">
      <c r="A120" s="2">
        <f t="shared" si="1"/>
        <v>119</v>
      </c>
    </row>
    <row r="121" spans="1:1" x14ac:dyDescent="0.25">
      <c r="A121" s="2">
        <f t="shared" si="1"/>
        <v>120</v>
      </c>
    </row>
    <row r="122" spans="1:1" x14ac:dyDescent="0.25">
      <c r="A122" s="2">
        <f t="shared" si="1"/>
        <v>121</v>
      </c>
    </row>
    <row r="123" spans="1:1" x14ac:dyDescent="0.25">
      <c r="A123" s="2">
        <f t="shared" si="1"/>
        <v>122</v>
      </c>
    </row>
    <row r="124" spans="1:1" x14ac:dyDescent="0.25">
      <c r="A124" s="2">
        <f t="shared" si="1"/>
        <v>123</v>
      </c>
    </row>
    <row r="125" spans="1:1" x14ac:dyDescent="0.25">
      <c r="A125" s="2">
        <f t="shared" si="1"/>
        <v>124</v>
      </c>
    </row>
    <row r="126" spans="1:1" x14ac:dyDescent="0.25">
      <c r="A126" s="2">
        <f t="shared" si="1"/>
        <v>125</v>
      </c>
    </row>
    <row r="127" spans="1:1" x14ac:dyDescent="0.25">
      <c r="A127" s="2">
        <f t="shared" si="1"/>
        <v>126</v>
      </c>
    </row>
    <row r="128" spans="1:1" x14ac:dyDescent="0.25">
      <c r="A128" s="2">
        <f t="shared" si="1"/>
        <v>127</v>
      </c>
    </row>
    <row r="129" spans="1:1" x14ac:dyDescent="0.25">
      <c r="A129" s="2">
        <f t="shared" si="1"/>
        <v>128</v>
      </c>
    </row>
    <row r="130" spans="1:1" x14ac:dyDescent="0.25">
      <c r="A130" s="2">
        <f t="shared" si="1"/>
        <v>129</v>
      </c>
    </row>
    <row r="131" spans="1:1" x14ac:dyDescent="0.25">
      <c r="A131" s="2">
        <f t="shared" ref="A131:A194" si="2">A130+1</f>
        <v>130</v>
      </c>
    </row>
    <row r="132" spans="1:1" x14ac:dyDescent="0.25">
      <c r="A132" s="2">
        <f t="shared" si="2"/>
        <v>131</v>
      </c>
    </row>
    <row r="133" spans="1:1" x14ac:dyDescent="0.25">
      <c r="A133" s="2">
        <f t="shared" si="2"/>
        <v>132</v>
      </c>
    </row>
    <row r="134" spans="1:1" x14ac:dyDescent="0.25">
      <c r="A134" s="2">
        <f t="shared" si="2"/>
        <v>133</v>
      </c>
    </row>
    <row r="135" spans="1:1" x14ac:dyDescent="0.25">
      <c r="A135" s="2">
        <f t="shared" si="2"/>
        <v>134</v>
      </c>
    </row>
    <row r="136" spans="1:1" x14ac:dyDescent="0.25">
      <c r="A136" s="2">
        <f t="shared" si="2"/>
        <v>135</v>
      </c>
    </row>
    <row r="137" spans="1:1" x14ac:dyDescent="0.25">
      <c r="A137" s="2">
        <f t="shared" si="2"/>
        <v>136</v>
      </c>
    </row>
    <row r="138" spans="1:1" x14ac:dyDescent="0.25">
      <c r="A138" s="2">
        <f t="shared" si="2"/>
        <v>137</v>
      </c>
    </row>
    <row r="139" spans="1:1" x14ac:dyDescent="0.25">
      <c r="A139" s="2">
        <f t="shared" si="2"/>
        <v>138</v>
      </c>
    </row>
    <row r="140" spans="1:1" x14ac:dyDescent="0.25">
      <c r="A140" s="2">
        <f t="shared" si="2"/>
        <v>139</v>
      </c>
    </row>
    <row r="141" spans="1:1" x14ac:dyDescent="0.25">
      <c r="A141" s="2">
        <f t="shared" si="2"/>
        <v>140</v>
      </c>
    </row>
    <row r="142" spans="1:1" x14ac:dyDescent="0.25">
      <c r="A142" s="2">
        <f t="shared" si="2"/>
        <v>141</v>
      </c>
    </row>
    <row r="143" spans="1:1" x14ac:dyDescent="0.25">
      <c r="A143" s="2">
        <f t="shared" si="2"/>
        <v>142</v>
      </c>
    </row>
    <row r="144" spans="1:1" x14ac:dyDescent="0.25">
      <c r="A144" s="2">
        <f t="shared" si="2"/>
        <v>143</v>
      </c>
    </row>
    <row r="145" spans="1:1" x14ac:dyDescent="0.25">
      <c r="A145" s="2">
        <f t="shared" si="2"/>
        <v>144</v>
      </c>
    </row>
    <row r="146" spans="1:1" x14ac:dyDescent="0.25">
      <c r="A146" s="2">
        <f t="shared" si="2"/>
        <v>145</v>
      </c>
    </row>
    <row r="147" spans="1:1" x14ac:dyDescent="0.25">
      <c r="A147" s="2">
        <f t="shared" si="2"/>
        <v>146</v>
      </c>
    </row>
    <row r="148" spans="1:1" x14ac:dyDescent="0.25">
      <c r="A148" s="2">
        <f t="shared" si="2"/>
        <v>147</v>
      </c>
    </row>
    <row r="149" spans="1:1" x14ac:dyDescent="0.25">
      <c r="A149" s="2">
        <f t="shared" si="2"/>
        <v>148</v>
      </c>
    </row>
    <row r="150" spans="1:1" x14ac:dyDescent="0.25">
      <c r="A150" s="2">
        <f t="shared" si="2"/>
        <v>149</v>
      </c>
    </row>
    <row r="151" spans="1:1" x14ac:dyDescent="0.25">
      <c r="A151" s="2">
        <f t="shared" si="2"/>
        <v>150</v>
      </c>
    </row>
    <row r="152" spans="1:1" x14ac:dyDescent="0.25">
      <c r="A152" s="2">
        <f t="shared" si="2"/>
        <v>151</v>
      </c>
    </row>
    <row r="153" spans="1:1" x14ac:dyDescent="0.25">
      <c r="A153" s="2">
        <f t="shared" si="2"/>
        <v>152</v>
      </c>
    </row>
    <row r="154" spans="1:1" x14ac:dyDescent="0.25">
      <c r="A154" s="2">
        <f t="shared" si="2"/>
        <v>153</v>
      </c>
    </row>
    <row r="155" spans="1:1" x14ac:dyDescent="0.25">
      <c r="A155" s="2">
        <f t="shared" si="2"/>
        <v>154</v>
      </c>
    </row>
    <row r="156" spans="1:1" x14ac:dyDescent="0.25">
      <c r="A156" s="2">
        <f t="shared" si="2"/>
        <v>155</v>
      </c>
    </row>
    <row r="157" spans="1:1" x14ac:dyDescent="0.25">
      <c r="A157" s="2">
        <f t="shared" si="2"/>
        <v>156</v>
      </c>
    </row>
    <row r="158" spans="1:1" x14ac:dyDescent="0.25">
      <c r="A158" s="2">
        <f t="shared" si="2"/>
        <v>157</v>
      </c>
    </row>
    <row r="159" spans="1:1" x14ac:dyDescent="0.25">
      <c r="A159" s="2">
        <f t="shared" si="2"/>
        <v>158</v>
      </c>
    </row>
    <row r="160" spans="1:1" x14ac:dyDescent="0.25">
      <c r="A160" s="2">
        <f t="shared" si="2"/>
        <v>159</v>
      </c>
    </row>
    <row r="161" spans="1:1" x14ac:dyDescent="0.25">
      <c r="A161" s="2">
        <f t="shared" si="2"/>
        <v>160</v>
      </c>
    </row>
    <row r="162" spans="1:1" x14ac:dyDescent="0.25">
      <c r="A162" s="2">
        <f t="shared" si="2"/>
        <v>161</v>
      </c>
    </row>
    <row r="163" spans="1:1" x14ac:dyDescent="0.25">
      <c r="A163" s="2">
        <f t="shared" si="2"/>
        <v>162</v>
      </c>
    </row>
    <row r="164" spans="1:1" x14ac:dyDescent="0.25">
      <c r="A164" s="2">
        <f t="shared" si="2"/>
        <v>163</v>
      </c>
    </row>
    <row r="165" spans="1:1" x14ac:dyDescent="0.25">
      <c r="A165" s="2">
        <f t="shared" si="2"/>
        <v>164</v>
      </c>
    </row>
    <row r="166" spans="1:1" x14ac:dyDescent="0.25">
      <c r="A166" s="2">
        <f t="shared" si="2"/>
        <v>165</v>
      </c>
    </row>
    <row r="167" spans="1:1" x14ac:dyDescent="0.25">
      <c r="A167" s="2">
        <f t="shared" si="2"/>
        <v>166</v>
      </c>
    </row>
    <row r="168" spans="1:1" x14ac:dyDescent="0.25">
      <c r="A168" s="2">
        <f t="shared" si="2"/>
        <v>167</v>
      </c>
    </row>
    <row r="169" spans="1:1" x14ac:dyDescent="0.25">
      <c r="A169" s="2">
        <f t="shared" si="2"/>
        <v>168</v>
      </c>
    </row>
    <row r="170" spans="1:1" x14ac:dyDescent="0.25">
      <c r="A170" s="2">
        <f t="shared" si="2"/>
        <v>169</v>
      </c>
    </row>
    <row r="171" spans="1:1" x14ac:dyDescent="0.25">
      <c r="A171" s="2">
        <f t="shared" si="2"/>
        <v>170</v>
      </c>
    </row>
    <row r="172" spans="1:1" x14ac:dyDescent="0.25">
      <c r="A172" s="2">
        <f t="shared" si="2"/>
        <v>171</v>
      </c>
    </row>
    <row r="173" spans="1:1" x14ac:dyDescent="0.25">
      <c r="A173" s="2">
        <f t="shared" si="2"/>
        <v>172</v>
      </c>
    </row>
    <row r="174" spans="1:1" x14ac:dyDescent="0.25">
      <c r="A174" s="2">
        <f t="shared" si="2"/>
        <v>173</v>
      </c>
    </row>
    <row r="175" spans="1:1" x14ac:dyDescent="0.25">
      <c r="A175" s="2">
        <f t="shared" si="2"/>
        <v>174</v>
      </c>
    </row>
    <row r="176" spans="1:1" x14ac:dyDescent="0.25">
      <c r="A176" s="2">
        <f t="shared" si="2"/>
        <v>175</v>
      </c>
    </row>
    <row r="177" spans="1:1" x14ac:dyDescent="0.25">
      <c r="A177" s="2">
        <f t="shared" si="2"/>
        <v>176</v>
      </c>
    </row>
    <row r="178" spans="1:1" x14ac:dyDescent="0.25">
      <c r="A178" s="2">
        <f t="shared" si="2"/>
        <v>177</v>
      </c>
    </row>
    <row r="179" spans="1:1" x14ac:dyDescent="0.25">
      <c r="A179" s="2">
        <f t="shared" si="2"/>
        <v>178</v>
      </c>
    </row>
    <row r="180" spans="1:1" x14ac:dyDescent="0.25">
      <c r="A180" s="2">
        <f t="shared" si="2"/>
        <v>179</v>
      </c>
    </row>
    <row r="181" spans="1:1" x14ac:dyDescent="0.25">
      <c r="A181" s="2">
        <f t="shared" si="2"/>
        <v>180</v>
      </c>
    </row>
    <row r="182" spans="1:1" x14ac:dyDescent="0.25">
      <c r="A182" s="2">
        <f t="shared" si="2"/>
        <v>181</v>
      </c>
    </row>
    <row r="183" spans="1:1" x14ac:dyDescent="0.25">
      <c r="A183" s="2">
        <f t="shared" si="2"/>
        <v>182</v>
      </c>
    </row>
    <row r="184" spans="1:1" x14ac:dyDescent="0.25">
      <c r="A184" s="2">
        <f t="shared" si="2"/>
        <v>183</v>
      </c>
    </row>
    <row r="185" spans="1:1" x14ac:dyDescent="0.25">
      <c r="A185" s="2">
        <f t="shared" si="2"/>
        <v>184</v>
      </c>
    </row>
    <row r="186" spans="1:1" x14ac:dyDescent="0.25">
      <c r="A186" s="2">
        <f t="shared" si="2"/>
        <v>185</v>
      </c>
    </row>
    <row r="187" spans="1:1" x14ac:dyDescent="0.25">
      <c r="A187" s="2">
        <f t="shared" si="2"/>
        <v>186</v>
      </c>
    </row>
    <row r="188" spans="1:1" x14ac:dyDescent="0.25">
      <c r="A188" s="2">
        <f t="shared" si="2"/>
        <v>187</v>
      </c>
    </row>
    <row r="189" spans="1:1" x14ac:dyDescent="0.25">
      <c r="A189" s="2">
        <f t="shared" si="2"/>
        <v>188</v>
      </c>
    </row>
    <row r="190" spans="1:1" x14ac:dyDescent="0.25">
      <c r="A190" s="2">
        <f t="shared" si="2"/>
        <v>189</v>
      </c>
    </row>
    <row r="191" spans="1:1" x14ac:dyDescent="0.25">
      <c r="A191" s="2">
        <f t="shared" si="2"/>
        <v>190</v>
      </c>
    </row>
    <row r="192" spans="1:1" x14ac:dyDescent="0.25">
      <c r="A192" s="2">
        <f t="shared" si="2"/>
        <v>191</v>
      </c>
    </row>
    <row r="193" spans="1:1" x14ac:dyDescent="0.25">
      <c r="A193" s="2">
        <f t="shared" si="2"/>
        <v>192</v>
      </c>
    </row>
    <row r="194" spans="1:1" x14ac:dyDescent="0.25">
      <c r="A194" s="2">
        <f t="shared" si="2"/>
        <v>193</v>
      </c>
    </row>
    <row r="195" spans="1:1" x14ac:dyDescent="0.25">
      <c r="A195" s="2">
        <f t="shared" ref="A195:A258" si="3">A194+1</f>
        <v>194</v>
      </c>
    </row>
    <row r="196" spans="1:1" x14ac:dyDescent="0.25">
      <c r="A196" s="2">
        <f t="shared" si="3"/>
        <v>195</v>
      </c>
    </row>
    <row r="197" spans="1:1" x14ac:dyDescent="0.25">
      <c r="A197" s="2">
        <f t="shared" si="3"/>
        <v>196</v>
      </c>
    </row>
    <row r="198" spans="1:1" x14ac:dyDescent="0.25">
      <c r="A198" s="2">
        <f t="shared" si="3"/>
        <v>197</v>
      </c>
    </row>
    <row r="199" spans="1:1" x14ac:dyDescent="0.25">
      <c r="A199" s="2">
        <f t="shared" si="3"/>
        <v>198</v>
      </c>
    </row>
    <row r="200" spans="1:1" x14ac:dyDescent="0.25">
      <c r="A200" s="2">
        <f t="shared" si="3"/>
        <v>199</v>
      </c>
    </row>
    <row r="201" spans="1:1" x14ac:dyDescent="0.25">
      <c r="A201" s="2">
        <f t="shared" si="3"/>
        <v>200</v>
      </c>
    </row>
    <row r="202" spans="1:1" x14ac:dyDescent="0.25">
      <c r="A202" s="2">
        <f t="shared" si="3"/>
        <v>201</v>
      </c>
    </row>
    <row r="203" spans="1:1" x14ac:dyDescent="0.25">
      <c r="A203" s="2">
        <f t="shared" si="3"/>
        <v>202</v>
      </c>
    </row>
    <row r="204" spans="1:1" x14ac:dyDescent="0.25">
      <c r="A204" s="2">
        <f t="shared" si="3"/>
        <v>203</v>
      </c>
    </row>
    <row r="205" spans="1:1" x14ac:dyDescent="0.25">
      <c r="A205" s="2">
        <f t="shared" si="3"/>
        <v>204</v>
      </c>
    </row>
    <row r="206" spans="1:1" x14ac:dyDescent="0.25">
      <c r="A206" s="2">
        <f t="shared" si="3"/>
        <v>205</v>
      </c>
    </row>
    <row r="207" spans="1:1" x14ac:dyDescent="0.25">
      <c r="A207" s="2">
        <f t="shared" si="3"/>
        <v>206</v>
      </c>
    </row>
    <row r="208" spans="1:1" x14ac:dyDescent="0.25">
      <c r="A208" s="2">
        <f t="shared" si="3"/>
        <v>207</v>
      </c>
    </row>
    <row r="209" spans="1:1" x14ac:dyDescent="0.25">
      <c r="A209" s="2">
        <f t="shared" si="3"/>
        <v>208</v>
      </c>
    </row>
    <row r="210" spans="1:1" x14ac:dyDescent="0.25">
      <c r="A210" s="2">
        <f t="shared" si="3"/>
        <v>209</v>
      </c>
    </row>
    <row r="211" spans="1:1" x14ac:dyDescent="0.25">
      <c r="A211" s="2">
        <f t="shared" si="3"/>
        <v>210</v>
      </c>
    </row>
    <row r="212" spans="1:1" x14ac:dyDescent="0.25">
      <c r="A212" s="2">
        <f t="shared" si="3"/>
        <v>211</v>
      </c>
    </row>
    <row r="213" spans="1:1" x14ac:dyDescent="0.25">
      <c r="A213" s="2">
        <f t="shared" si="3"/>
        <v>212</v>
      </c>
    </row>
    <row r="214" spans="1:1" x14ac:dyDescent="0.25">
      <c r="A214" s="2">
        <f t="shared" si="3"/>
        <v>213</v>
      </c>
    </row>
    <row r="215" spans="1:1" x14ac:dyDescent="0.25">
      <c r="A215" s="2">
        <f t="shared" si="3"/>
        <v>214</v>
      </c>
    </row>
    <row r="216" spans="1:1" x14ac:dyDescent="0.25">
      <c r="A216" s="2">
        <f t="shared" si="3"/>
        <v>215</v>
      </c>
    </row>
    <row r="217" spans="1:1" x14ac:dyDescent="0.25">
      <c r="A217" s="2">
        <f t="shared" si="3"/>
        <v>216</v>
      </c>
    </row>
    <row r="218" spans="1:1" x14ac:dyDescent="0.25">
      <c r="A218" s="2">
        <f t="shared" si="3"/>
        <v>217</v>
      </c>
    </row>
    <row r="219" spans="1:1" x14ac:dyDescent="0.25">
      <c r="A219" s="2">
        <f t="shared" si="3"/>
        <v>218</v>
      </c>
    </row>
    <row r="220" spans="1:1" x14ac:dyDescent="0.25">
      <c r="A220" s="2">
        <f t="shared" si="3"/>
        <v>219</v>
      </c>
    </row>
    <row r="221" spans="1:1" x14ac:dyDescent="0.25">
      <c r="A221" s="2">
        <f t="shared" si="3"/>
        <v>220</v>
      </c>
    </row>
    <row r="222" spans="1:1" x14ac:dyDescent="0.25">
      <c r="A222" s="2">
        <f t="shared" si="3"/>
        <v>221</v>
      </c>
    </row>
    <row r="223" spans="1:1" x14ac:dyDescent="0.25">
      <c r="A223" s="2">
        <f t="shared" si="3"/>
        <v>222</v>
      </c>
    </row>
    <row r="224" spans="1:1" x14ac:dyDescent="0.25">
      <c r="A224" s="2">
        <f t="shared" si="3"/>
        <v>223</v>
      </c>
    </row>
    <row r="225" spans="1:1" x14ac:dyDescent="0.25">
      <c r="A225" s="2">
        <f t="shared" si="3"/>
        <v>224</v>
      </c>
    </row>
    <row r="226" spans="1:1" x14ac:dyDescent="0.25">
      <c r="A226" s="2">
        <f t="shared" si="3"/>
        <v>225</v>
      </c>
    </row>
    <row r="227" spans="1:1" x14ac:dyDescent="0.25">
      <c r="A227" s="2">
        <f t="shared" si="3"/>
        <v>226</v>
      </c>
    </row>
    <row r="228" spans="1:1" x14ac:dyDescent="0.25">
      <c r="A228" s="2">
        <f t="shared" si="3"/>
        <v>227</v>
      </c>
    </row>
    <row r="229" spans="1:1" x14ac:dyDescent="0.25">
      <c r="A229" s="2">
        <f t="shared" si="3"/>
        <v>228</v>
      </c>
    </row>
    <row r="230" spans="1:1" x14ac:dyDescent="0.25">
      <c r="A230" s="2">
        <f t="shared" si="3"/>
        <v>229</v>
      </c>
    </row>
    <row r="231" spans="1:1" x14ac:dyDescent="0.25">
      <c r="A231" s="2">
        <f t="shared" si="3"/>
        <v>230</v>
      </c>
    </row>
    <row r="232" spans="1:1" x14ac:dyDescent="0.25">
      <c r="A232" s="2">
        <f t="shared" si="3"/>
        <v>231</v>
      </c>
    </row>
    <row r="233" spans="1:1" x14ac:dyDescent="0.25">
      <c r="A233" s="2">
        <f t="shared" si="3"/>
        <v>232</v>
      </c>
    </row>
    <row r="234" spans="1:1" x14ac:dyDescent="0.25">
      <c r="A234" s="2">
        <f t="shared" si="3"/>
        <v>233</v>
      </c>
    </row>
    <row r="235" spans="1:1" x14ac:dyDescent="0.25">
      <c r="A235" s="2">
        <f t="shared" si="3"/>
        <v>234</v>
      </c>
    </row>
    <row r="236" spans="1:1" x14ac:dyDescent="0.25">
      <c r="A236" s="2">
        <f t="shared" si="3"/>
        <v>235</v>
      </c>
    </row>
    <row r="237" spans="1:1" x14ac:dyDescent="0.25">
      <c r="A237" s="2">
        <f t="shared" si="3"/>
        <v>236</v>
      </c>
    </row>
    <row r="238" spans="1:1" x14ac:dyDescent="0.25">
      <c r="A238" s="2">
        <f t="shared" si="3"/>
        <v>237</v>
      </c>
    </row>
    <row r="239" spans="1:1" x14ac:dyDescent="0.25">
      <c r="A239" s="2">
        <f t="shared" si="3"/>
        <v>238</v>
      </c>
    </row>
    <row r="240" spans="1:1" x14ac:dyDescent="0.25">
      <c r="A240" s="2">
        <f t="shared" si="3"/>
        <v>239</v>
      </c>
    </row>
    <row r="241" spans="1:1" x14ac:dyDescent="0.25">
      <c r="A241" s="2">
        <f t="shared" si="3"/>
        <v>240</v>
      </c>
    </row>
    <row r="242" spans="1:1" x14ac:dyDescent="0.25">
      <c r="A242" s="2">
        <f t="shared" si="3"/>
        <v>241</v>
      </c>
    </row>
    <row r="243" spans="1:1" x14ac:dyDescent="0.25">
      <c r="A243" s="2">
        <f t="shared" si="3"/>
        <v>242</v>
      </c>
    </row>
    <row r="244" spans="1:1" x14ac:dyDescent="0.25">
      <c r="A244" s="2">
        <f t="shared" si="3"/>
        <v>243</v>
      </c>
    </row>
    <row r="245" spans="1:1" x14ac:dyDescent="0.25">
      <c r="A245" s="2">
        <f t="shared" si="3"/>
        <v>244</v>
      </c>
    </row>
    <row r="246" spans="1:1" x14ac:dyDescent="0.25">
      <c r="A246" s="2">
        <f t="shared" si="3"/>
        <v>245</v>
      </c>
    </row>
    <row r="247" spans="1:1" x14ac:dyDescent="0.25">
      <c r="A247" s="2">
        <f t="shared" si="3"/>
        <v>246</v>
      </c>
    </row>
    <row r="248" spans="1:1" x14ac:dyDescent="0.25">
      <c r="A248" s="2">
        <f t="shared" si="3"/>
        <v>247</v>
      </c>
    </row>
    <row r="249" spans="1:1" x14ac:dyDescent="0.25">
      <c r="A249" s="2">
        <f t="shared" si="3"/>
        <v>248</v>
      </c>
    </row>
    <row r="250" spans="1:1" x14ac:dyDescent="0.25">
      <c r="A250" s="2">
        <f t="shared" si="3"/>
        <v>249</v>
      </c>
    </row>
    <row r="251" spans="1:1" x14ac:dyDescent="0.25">
      <c r="A251" s="2">
        <f t="shared" si="3"/>
        <v>250</v>
      </c>
    </row>
    <row r="252" spans="1:1" x14ac:dyDescent="0.25">
      <c r="A252" s="2">
        <f t="shared" si="3"/>
        <v>251</v>
      </c>
    </row>
    <row r="253" spans="1:1" x14ac:dyDescent="0.25">
      <c r="A253" s="2">
        <f t="shared" si="3"/>
        <v>252</v>
      </c>
    </row>
    <row r="254" spans="1:1" x14ac:dyDescent="0.25">
      <c r="A254" s="2">
        <f t="shared" si="3"/>
        <v>253</v>
      </c>
    </row>
    <row r="255" spans="1:1" x14ac:dyDescent="0.25">
      <c r="A255" s="2">
        <f t="shared" si="3"/>
        <v>254</v>
      </c>
    </row>
    <row r="256" spans="1:1" x14ac:dyDescent="0.25">
      <c r="A256" s="2">
        <f t="shared" si="3"/>
        <v>255</v>
      </c>
    </row>
    <row r="257" spans="1:1" x14ac:dyDescent="0.25">
      <c r="A257" s="2">
        <f t="shared" si="3"/>
        <v>256</v>
      </c>
    </row>
    <row r="258" spans="1:1" x14ac:dyDescent="0.25">
      <c r="A258" s="2">
        <f t="shared" si="3"/>
        <v>257</v>
      </c>
    </row>
    <row r="259" spans="1:1" x14ac:dyDescent="0.25">
      <c r="A259" s="2">
        <f t="shared" ref="A259:A322" si="4">A258+1</f>
        <v>258</v>
      </c>
    </row>
    <row r="260" spans="1:1" x14ac:dyDescent="0.25">
      <c r="A260" s="2">
        <f t="shared" si="4"/>
        <v>259</v>
      </c>
    </row>
    <row r="261" spans="1:1" x14ac:dyDescent="0.25">
      <c r="A261" s="2">
        <f t="shared" si="4"/>
        <v>260</v>
      </c>
    </row>
    <row r="262" spans="1:1" x14ac:dyDescent="0.25">
      <c r="A262" s="2">
        <f t="shared" si="4"/>
        <v>261</v>
      </c>
    </row>
    <row r="263" spans="1:1" x14ac:dyDescent="0.25">
      <c r="A263" s="2">
        <f t="shared" si="4"/>
        <v>262</v>
      </c>
    </row>
    <row r="264" spans="1:1" x14ac:dyDescent="0.25">
      <c r="A264" s="2">
        <f t="shared" si="4"/>
        <v>263</v>
      </c>
    </row>
    <row r="265" spans="1:1" x14ac:dyDescent="0.25">
      <c r="A265" s="2">
        <f t="shared" si="4"/>
        <v>264</v>
      </c>
    </row>
    <row r="266" spans="1:1" x14ac:dyDescent="0.25">
      <c r="A266" s="2">
        <f t="shared" si="4"/>
        <v>265</v>
      </c>
    </row>
    <row r="267" spans="1:1" x14ac:dyDescent="0.25">
      <c r="A267" s="2">
        <f t="shared" si="4"/>
        <v>266</v>
      </c>
    </row>
    <row r="268" spans="1:1" x14ac:dyDescent="0.25">
      <c r="A268" s="2">
        <f t="shared" si="4"/>
        <v>267</v>
      </c>
    </row>
    <row r="269" spans="1:1" x14ac:dyDescent="0.25">
      <c r="A269" s="2">
        <f t="shared" si="4"/>
        <v>268</v>
      </c>
    </row>
    <row r="270" spans="1:1" x14ac:dyDescent="0.25">
      <c r="A270" s="2">
        <f t="shared" si="4"/>
        <v>269</v>
      </c>
    </row>
    <row r="271" spans="1:1" x14ac:dyDescent="0.25">
      <c r="A271" s="2">
        <f t="shared" si="4"/>
        <v>270</v>
      </c>
    </row>
    <row r="272" spans="1:1" x14ac:dyDescent="0.25">
      <c r="A272" s="2">
        <f t="shared" si="4"/>
        <v>271</v>
      </c>
    </row>
    <row r="273" spans="1:1" x14ac:dyDescent="0.25">
      <c r="A273" s="2">
        <f t="shared" si="4"/>
        <v>272</v>
      </c>
    </row>
    <row r="274" spans="1:1" x14ac:dyDescent="0.25">
      <c r="A274" s="2">
        <f t="shared" si="4"/>
        <v>273</v>
      </c>
    </row>
    <row r="275" spans="1:1" x14ac:dyDescent="0.25">
      <c r="A275" s="2">
        <f t="shared" si="4"/>
        <v>274</v>
      </c>
    </row>
    <row r="276" spans="1:1" x14ac:dyDescent="0.25">
      <c r="A276" s="2">
        <f t="shared" si="4"/>
        <v>275</v>
      </c>
    </row>
    <row r="277" spans="1:1" x14ac:dyDescent="0.25">
      <c r="A277" s="2">
        <f t="shared" si="4"/>
        <v>276</v>
      </c>
    </row>
    <row r="278" spans="1:1" x14ac:dyDescent="0.25">
      <c r="A278" s="2">
        <f t="shared" si="4"/>
        <v>277</v>
      </c>
    </row>
    <row r="279" spans="1:1" x14ac:dyDescent="0.25">
      <c r="A279" s="2">
        <f t="shared" si="4"/>
        <v>278</v>
      </c>
    </row>
    <row r="280" spans="1:1" x14ac:dyDescent="0.25">
      <c r="A280" s="2">
        <f t="shared" si="4"/>
        <v>279</v>
      </c>
    </row>
    <row r="281" spans="1:1" x14ac:dyDescent="0.25">
      <c r="A281" s="2">
        <f t="shared" si="4"/>
        <v>280</v>
      </c>
    </row>
    <row r="282" spans="1:1" x14ac:dyDescent="0.25">
      <c r="A282" s="2">
        <f t="shared" si="4"/>
        <v>281</v>
      </c>
    </row>
    <row r="283" spans="1:1" x14ac:dyDescent="0.25">
      <c r="A283" s="2">
        <f t="shared" si="4"/>
        <v>282</v>
      </c>
    </row>
    <row r="284" spans="1:1" x14ac:dyDescent="0.25">
      <c r="A284" s="2">
        <f t="shared" si="4"/>
        <v>283</v>
      </c>
    </row>
    <row r="285" spans="1:1" x14ac:dyDescent="0.25">
      <c r="A285" s="2">
        <f t="shared" si="4"/>
        <v>284</v>
      </c>
    </row>
    <row r="286" spans="1:1" x14ac:dyDescent="0.25">
      <c r="A286" s="2">
        <f t="shared" si="4"/>
        <v>285</v>
      </c>
    </row>
    <row r="287" spans="1:1" x14ac:dyDescent="0.25">
      <c r="A287" s="2">
        <f t="shared" si="4"/>
        <v>286</v>
      </c>
    </row>
    <row r="288" spans="1:1" x14ac:dyDescent="0.25">
      <c r="A288" s="2">
        <f t="shared" si="4"/>
        <v>287</v>
      </c>
    </row>
    <row r="289" spans="1:1" x14ac:dyDescent="0.25">
      <c r="A289" s="2">
        <f t="shared" si="4"/>
        <v>288</v>
      </c>
    </row>
    <row r="290" spans="1:1" x14ac:dyDescent="0.25">
      <c r="A290" s="2">
        <f t="shared" si="4"/>
        <v>289</v>
      </c>
    </row>
    <row r="291" spans="1:1" x14ac:dyDescent="0.25">
      <c r="A291" s="2">
        <f t="shared" si="4"/>
        <v>290</v>
      </c>
    </row>
    <row r="292" spans="1:1" x14ac:dyDescent="0.25">
      <c r="A292" s="2">
        <f t="shared" si="4"/>
        <v>291</v>
      </c>
    </row>
    <row r="293" spans="1:1" x14ac:dyDescent="0.25">
      <c r="A293" s="2">
        <f t="shared" si="4"/>
        <v>292</v>
      </c>
    </row>
    <row r="294" spans="1:1" x14ac:dyDescent="0.25">
      <c r="A294" s="2">
        <f t="shared" si="4"/>
        <v>293</v>
      </c>
    </row>
    <row r="295" spans="1:1" x14ac:dyDescent="0.25">
      <c r="A295" s="2">
        <f t="shared" si="4"/>
        <v>294</v>
      </c>
    </row>
    <row r="296" spans="1:1" x14ac:dyDescent="0.25">
      <c r="A296" s="2">
        <f t="shared" si="4"/>
        <v>295</v>
      </c>
    </row>
    <row r="297" spans="1:1" x14ac:dyDescent="0.25">
      <c r="A297" s="2">
        <f t="shared" si="4"/>
        <v>296</v>
      </c>
    </row>
    <row r="298" spans="1:1" x14ac:dyDescent="0.25">
      <c r="A298" s="2">
        <f t="shared" si="4"/>
        <v>297</v>
      </c>
    </row>
    <row r="299" spans="1:1" x14ac:dyDescent="0.25">
      <c r="A299" s="2">
        <f t="shared" si="4"/>
        <v>298</v>
      </c>
    </row>
    <row r="300" spans="1:1" x14ac:dyDescent="0.25">
      <c r="A300" s="2">
        <f t="shared" si="4"/>
        <v>299</v>
      </c>
    </row>
    <row r="301" spans="1:1" x14ac:dyDescent="0.25">
      <c r="A301" s="2">
        <f t="shared" si="4"/>
        <v>300</v>
      </c>
    </row>
    <row r="302" spans="1:1" x14ac:dyDescent="0.25">
      <c r="A302" s="2">
        <f t="shared" si="4"/>
        <v>301</v>
      </c>
    </row>
    <row r="303" spans="1:1" x14ac:dyDescent="0.25">
      <c r="A303" s="2">
        <f t="shared" si="4"/>
        <v>302</v>
      </c>
    </row>
    <row r="304" spans="1:1" x14ac:dyDescent="0.25">
      <c r="A304" s="2">
        <f t="shared" si="4"/>
        <v>303</v>
      </c>
    </row>
    <row r="305" spans="1:1" x14ac:dyDescent="0.25">
      <c r="A305" s="2">
        <f t="shared" si="4"/>
        <v>304</v>
      </c>
    </row>
    <row r="306" spans="1:1" x14ac:dyDescent="0.25">
      <c r="A306" s="2">
        <f t="shared" si="4"/>
        <v>305</v>
      </c>
    </row>
    <row r="307" spans="1:1" x14ac:dyDescent="0.25">
      <c r="A307" s="2">
        <f t="shared" si="4"/>
        <v>306</v>
      </c>
    </row>
    <row r="308" spans="1:1" x14ac:dyDescent="0.25">
      <c r="A308" s="2">
        <f t="shared" si="4"/>
        <v>307</v>
      </c>
    </row>
    <row r="309" spans="1:1" x14ac:dyDescent="0.25">
      <c r="A309" s="2">
        <f t="shared" si="4"/>
        <v>308</v>
      </c>
    </row>
    <row r="310" spans="1:1" x14ac:dyDescent="0.25">
      <c r="A310" s="2">
        <f t="shared" si="4"/>
        <v>309</v>
      </c>
    </row>
    <row r="311" spans="1:1" x14ac:dyDescent="0.25">
      <c r="A311" s="2">
        <f t="shared" si="4"/>
        <v>310</v>
      </c>
    </row>
    <row r="312" spans="1:1" x14ac:dyDescent="0.25">
      <c r="A312" s="2">
        <f t="shared" si="4"/>
        <v>311</v>
      </c>
    </row>
    <row r="313" spans="1:1" x14ac:dyDescent="0.25">
      <c r="A313" s="2">
        <f t="shared" si="4"/>
        <v>312</v>
      </c>
    </row>
    <row r="314" spans="1:1" x14ac:dyDescent="0.25">
      <c r="A314" s="2">
        <f t="shared" si="4"/>
        <v>313</v>
      </c>
    </row>
    <row r="315" spans="1:1" x14ac:dyDescent="0.25">
      <c r="A315" s="2">
        <f t="shared" si="4"/>
        <v>314</v>
      </c>
    </row>
    <row r="316" spans="1:1" x14ac:dyDescent="0.25">
      <c r="A316" s="2">
        <f t="shared" si="4"/>
        <v>315</v>
      </c>
    </row>
    <row r="317" spans="1:1" x14ac:dyDescent="0.25">
      <c r="A317" s="2">
        <f t="shared" si="4"/>
        <v>316</v>
      </c>
    </row>
    <row r="318" spans="1:1" x14ac:dyDescent="0.25">
      <c r="A318" s="2">
        <f t="shared" si="4"/>
        <v>317</v>
      </c>
    </row>
    <row r="319" spans="1:1" x14ac:dyDescent="0.25">
      <c r="A319" s="2">
        <f t="shared" si="4"/>
        <v>318</v>
      </c>
    </row>
    <row r="320" spans="1:1" x14ac:dyDescent="0.25">
      <c r="A320" s="2">
        <f t="shared" si="4"/>
        <v>319</v>
      </c>
    </row>
    <row r="321" spans="1:1" x14ac:dyDescent="0.25">
      <c r="A321" s="2">
        <f t="shared" si="4"/>
        <v>320</v>
      </c>
    </row>
    <row r="322" spans="1:1" x14ac:dyDescent="0.25">
      <c r="A322" s="2">
        <f t="shared" si="4"/>
        <v>321</v>
      </c>
    </row>
    <row r="323" spans="1:1" x14ac:dyDescent="0.25">
      <c r="A323" s="2">
        <f t="shared" ref="A323:A386" si="5">A322+1</f>
        <v>322</v>
      </c>
    </row>
    <row r="324" spans="1:1" x14ac:dyDescent="0.25">
      <c r="A324" s="2">
        <f t="shared" si="5"/>
        <v>323</v>
      </c>
    </row>
    <row r="325" spans="1:1" x14ac:dyDescent="0.25">
      <c r="A325" s="2">
        <f t="shared" si="5"/>
        <v>324</v>
      </c>
    </row>
    <row r="326" spans="1:1" x14ac:dyDescent="0.25">
      <c r="A326" s="2">
        <f t="shared" si="5"/>
        <v>325</v>
      </c>
    </row>
    <row r="327" spans="1:1" x14ac:dyDescent="0.25">
      <c r="A327" s="2">
        <f t="shared" si="5"/>
        <v>326</v>
      </c>
    </row>
    <row r="328" spans="1:1" x14ac:dyDescent="0.25">
      <c r="A328" s="2">
        <f t="shared" si="5"/>
        <v>327</v>
      </c>
    </row>
    <row r="329" spans="1:1" x14ac:dyDescent="0.25">
      <c r="A329" s="2">
        <f t="shared" si="5"/>
        <v>328</v>
      </c>
    </row>
    <row r="330" spans="1:1" x14ac:dyDescent="0.25">
      <c r="A330" s="2">
        <f t="shared" si="5"/>
        <v>329</v>
      </c>
    </row>
    <row r="331" spans="1:1" x14ac:dyDescent="0.25">
      <c r="A331" s="2">
        <f t="shared" si="5"/>
        <v>330</v>
      </c>
    </row>
    <row r="332" spans="1:1" x14ac:dyDescent="0.25">
      <c r="A332" s="2">
        <f t="shared" si="5"/>
        <v>331</v>
      </c>
    </row>
    <row r="333" spans="1:1" x14ac:dyDescent="0.25">
      <c r="A333" s="2">
        <f t="shared" si="5"/>
        <v>332</v>
      </c>
    </row>
    <row r="334" spans="1:1" x14ac:dyDescent="0.25">
      <c r="A334" s="2">
        <f t="shared" si="5"/>
        <v>333</v>
      </c>
    </row>
    <row r="335" spans="1:1" x14ac:dyDescent="0.25">
      <c r="A335" s="2">
        <f t="shared" si="5"/>
        <v>334</v>
      </c>
    </row>
    <row r="336" spans="1:1" x14ac:dyDescent="0.25">
      <c r="A336" s="2">
        <f t="shared" si="5"/>
        <v>335</v>
      </c>
    </row>
    <row r="337" spans="1:1" x14ac:dyDescent="0.25">
      <c r="A337" s="2">
        <f t="shared" si="5"/>
        <v>336</v>
      </c>
    </row>
    <row r="338" spans="1:1" x14ac:dyDescent="0.25">
      <c r="A338" s="2">
        <f t="shared" si="5"/>
        <v>337</v>
      </c>
    </row>
    <row r="339" spans="1:1" x14ac:dyDescent="0.25">
      <c r="A339" s="2">
        <f t="shared" si="5"/>
        <v>338</v>
      </c>
    </row>
    <row r="340" spans="1:1" x14ac:dyDescent="0.25">
      <c r="A340" s="2">
        <f t="shared" si="5"/>
        <v>339</v>
      </c>
    </row>
    <row r="341" spans="1:1" x14ac:dyDescent="0.25">
      <c r="A341" s="2">
        <f t="shared" si="5"/>
        <v>340</v>
      </c>
    </row>
    <row r="342" spans="1:1" x14ac:dyDescent="0.25">
      <c r="A342" s="2">
        <f t="shared" si="5"/>
        <v>341</v>
      </c>
    </row>
    <row r="343" spans="1:1" x14ac:dyDescent="0.25">
      <c r="A343" s="2">
        <f t="shared" si="5"/>
        <v>342</v>
      </c>
    </row>
    <row r="344" spans="1:1" x14ac:dyDescent="0.25">
      <c r="A344" s="2">
        <f t="shared" si="5"/>
        <v>343</v>
      </c>
    </row>
    <row r="345" spans="1:1" x14ac:dyDescent="0.25">
      <c r="A345" s="2">
        <f t="shared" si="5"/>
        <v>344</v>
      </c>
    </row>
    <row r="346" spans="1:1" x14ac:dyDescent="0.25">
      <c r="A346" s="2">
        <f t="shared" si="5"/>
        <v>345</v>
      </c>
    </row>
    <row r="347" spans="1:1" x14ac:dyDescent="0.25">
      <c r="A347" s="2">
        <f t="shared" si="5"/>
        <v>346</v>
      </c>
    </row>
    <row r="348" spans="1:1" x14ac:dyDescent="0.25">
      <c r="A348" s="2">
        <f t="shared" si="5"/>
        <v>347</v>
      </c>
    </row>
    <row r="349" spans="1:1" x14ac:dyDescent="0.25">
      <c r="A349" s="2">
        <f t="shared" si="5"/>
        <v>348</v>
      </c>
    </row>
    <row r="350" spans="1:1" x14ac:dyDescent="0.25">
      <c r="A350" s="2">
        <f t="shared" si="5"/>
        <v>349</v>
      </c>
    </row>
    <row r="351" spans="1:1" x14ac:dyDescent="0.25">
      <c r="A351" s="2">
        <f t="shared" si="5"/>
        <v>350</v>
      </c>
    </row>
    <row r="352" spans="1:1" x14ac:dyDescent="0.25">
      <c r="A352" s="2">
        <f t="shared" si="5"/>
        <v>351</v>
      </c>
    </row>
    <row r="353" spans="1:1" x14ac:dyDescent="0.25">
      <c r="A353" s="2">
        <f t="shared" si="5"/>
        <v>352</v>
      </c>
    </row>
    <row r="354" spans="1:1" x14ac:dyDescent="0.25">
      <c r="A354" s="2">
        <f t="shared" si="5"/>
        <v>353</v>
      </c>
    </row>
    <row r="355" spans="1:1" x14ac:dyDescent="0.25">
      <c r="A355" s="2">
        <f t="shared" si="5"/>
        <v>354</v>
      </c>
    </row>
    <row r="356" spans="1:1" x14ac:dyDescent="0.25">
      <c r="A356" s="2">
        <f t="shared" si="5"/>
        <v>355</v>
      </c>
    </row>
    <row r="357" spans="1:1" x14ac:dyDescent="0.25">
      <c r="A357" s="2">
        <f t="shared" si="5"/>
        <v>356</v>
      </c>
    </row>
    <row r="358" spans="1:1" x14ac:dyDescent="0.25">
      <c r="A358" s="2">
        <f t="shared" si="5"/>
        <v>357</v>
      </c>
    </row>
    <row r="359" spans="1:1" x14ac:dyDescent="0.25">
      <c r="A359" s="2">
        <f t="shared" si="5"/>
        <v>358</v>
      </c>
    </row>
    <row r="360" spans="1:1" x14ac:dyDescent="0.25">
      <c r="A360" s="2">
        <f t="shared" si="5"/>
        <v>359</v>
      </c>
    </row>
    <row r="361" spans="1:1" x14ac:dyDescent="0.25">
      <c r="A361" s="2">
        <f t="shared" si="5"/>
        <v>360</v>
      </c>
    </row>
    <row r="362" spans="1:1" x14ac:dyDescent="0.25">
      <c r="A362" s="2">
        <f t="shared" si="5"/>
        <v>361</v>
      </c>
    </row>
    <row r="363" spans="1:1" x14ac:dyDescent="0.25">
      <c r="A363" s="2">
        <f t="shared" si="5"/>
        <v>362</v>
      </c>
    </row>
    <row r="364" spans="1:1" x14ac:dyDescent="0.25">
      <c r="A364" s="2">
        <f t="shared" si="5"/>
        <v>363</v>
      </c>
    </row>
    <row r="365" spans="1:1" x14ac:dyDescent="0.25">
      <c r="A365" s="2">
        <f t="shared" si="5"/>
        <v>364</v>
      </c>
    </row>
    <row r="366" spans="1:1" x14ac:dyDescent="0.25">
      <c r="A366" s="2">
        <f t="shared" si="5"/>
        <v>365</v>
      </c>
    </row>
    <row r="367" spans="1:1" x14ac:dyDescent="0.25">
      <c r="A367" s="2">
        <f t="shared" si="5"/>
        <v>366</v>
      </c>
    </row>
    <row r="368" spans="1:1" x14ac:dyDescent="0.25">
      <c r="A368" s="2">
        <f t="shared" si="5"/>
        <v>367</v>
      </c>
    </row>
    <row r="369" spans="1:1" x14ac:dyDescent="0.25">
      <c r="A369" s="2">
        <f t="shared" si="5"/>
        <v>368</v>
      </c>
    </row>
    <row r="370" spans="1:1" x14ac:dyDescent="0.25">
      <c r="A370" s="2">
        <f t="shared" si="5"/>
        <v>369</v>
      </c>
    </row>
    <row r="371" spans="1:1" x14ac:dyDescent="0.25">
      <c r="A371" s="2">
        <f t="shared" si="5"/>
        <v>370</v>
      </c>
    </row>
    <row r="372" spans="1:1" x14ac:dyDescent="0.25">
      <c r="A372" s="2">
        <f t="shared" si="5"/>
        <v>371</v>
      </c>
    </row>
    <row r="373" spans="1:1" x14ac:dyDescent="0.25">
      <c r="A373" s="2">
        <f t="shared" si="5"/>
        <v>372</v>
      </c>
    </row>
    <row r="374" spans="1:1" x14ac:dyDescent="0.25">
      <c r="A374" s="2">
        <f t="shared" si="5"/>
        <v>373</v>
      </c>
    </row>
    <row r="375" spans="1:1" x14ac:dyDescent="0.25">
      <c r="A375" s="2">
        <f t="shared" si="5"/>
        <v>374</v>
      </c>
    </row>
    <row r="376" spans="1:1" x14ac:dyDescent="0.25">
      <c r="A376" s="2">
        <f t="shared" si="5"/>
        <v>375</v>
      </c>
    </row>
    <row r="377" spans="1:1" x14ac:dyDescent="0.25">
      <c r="A377" s="2">
        <f t="shared" si="5"/>
        <v>376</v>
      </c>
    </row>
    <row r="378" spans="1:1" x14ac:dyDescent="0.25">
      <c r="A378" s="2">
        <f t="shared" si="5"/>
        <v>377</v>
      </c>
    </row>
    <row r="379" spans="1:1" x14ac:dyDescent="0.25">
      <c r="A379" s="2">
        <f t="shared" si="5"/>
        <v>378</v>
      </c>
    </row>
    <row r="380" spans="1:1" x14ac:dyDescent="0.25">
      <c r="A380" s="2">
        <f t="shared" si="5"/>
        <v>379</v>
      </c>
    </row>
    <row r="381" spans="1:1" x14ac:dyDescent="0.25">
      <c r="A381" s="2">
        <f t="shared" si="5"/>
        <v>380</v>
      </c>
    </row>
    <row r="382" spans="1:1" x14ac:dyDescent="0.25">
      <c r="A382" s="2">
        <f t="shared" si="5"/>
        <v>381</v>
      </c>
    </row>
    <row r="383" spans="1:1" x14ac:dyDescent="0.25">
      <c r="A383" s="2">
        <f t="shared" si="5"/>
        <v>382</v>
      </c>
    </row>
    <row r="384" spans="1:1" x14ac:dyDescent="0.25">
      <c r="A384" s="2">
        <f t="shared" si="5"/>
        <v>383</v>
      </c>
    </row>
    <row r="385" spans="1:1" x14ac:dyDescent="0.25">
      <c r="A385" s="2">
        <f t="shared" si="5"/>
        <v>384</v>
      </c>
    </row>
    <row r="386" spans="1:1" x14ac:dyDescent="0.25">
      <c r="A386" s="2">
        <f t="shared" si="5"/>
        <v>385</v>
      </c>
    </row>
    <row r="387" spans="1:1" x14ac:dyDescent="0.25">
      <c r="A387" s="2">
        <f t="shared" ref="A387:A450" si="6">A386+1</f>
        <v>386</v>
      </c>
    </row>
    <row r="388" spans="1:1" x14ac:dyDescent="0.25">
      <c r="A388" s="2">
        <f t="shared" si="6"/>
        <v>387</v>
      </c>
    </row>
    <row r="389" spans="1:1" x14ac:dyDescent="0.25">
      <c r="A389" s="2">
        <f t="shared" si="6"/>
        <v>388</v>
      </c>
    </row>
    <row r="390" spans="1:1" x14ac:dyDescent="0.25">
      <c r="A390" s="2">
        <f t="shared" si="6"/>
        <v>389</v>
      </c>
    </row>
    <row r="391" spans="1:1" x14ac:dyDescent="0.25">
      <c r="A391" s="2">
        <f t="shared" si="6"/>
        <v>390</v>
      </c>
    </row>
    <row r="392" spans="1:1" x14ac:dyDescent="0.25">
      <c r="A392" s="2">
        <f t="shared" si="6"/>
        <v>391</v>
      </c>
    </row>
    <row r="393" spans="1:1" x14ac:dyDescent="0.25">
      <c r="A393" s="2">
        <f t="shared" si="6"/>
        <v>392</v>
      </c>
    </row>
    <row r="394" spans="1:1" x14ac:dyDescent="0.25">
      <c r="A394" s="2">
        <f t="shared" si="6"/>
        <v>393</v>
      </c>
    </row>
    <row r="395" spans="1:1" x14ac:dyDescent="0.25">
      <c r="A395" s="2">
        <f t="shared" si="6"/>
        <v>394</v>
      </c>
    </row>
    <row r="396" spans="1:1" x14ac:dyDescent="0.25">
      <c r="A396" s="2">
        <f t="shared" si="6"/>
        <v>395</v>
      </c>
    </row>
    <row r="397" spans="1:1" x14ac:dyDescent="0.25">
      <c r="A397" s="2">
        <f t="shared" si="6"/>
        <v>396</v>
      </c>
    </row>
    <row r="398" spans="1:1" x14ac:dyDescent="0.25">
      <c r="A398" s="2">
        <f t="shared" si="6"/>
        <v>397</v>
      </c>
    </row>
    <row r="399" spans="1:1" x14ac:dyDescent="0.25">
      <c r="A399" s="2">
        <f t="shared" si="6"/>
        <v>398</v>
      </c>
    </row>
    <row r="400" spans="1:1" x14ac:dyDescent="0.25">
      <c r="A400" s="2">
        <f t="shared" si="6"/>
        <v>399</v>
      </c>
    </row>
    <row r="401" spans="1:1" x14ac:dyDescent="0.25">
      <c r="A401" s="2">
        <f t="shared" si="6"/>
        <v>400</v>
      </c>
    </row>
    <row r="402" spans="1:1" x14ac:dyDescent="0.25">
      <c r="A402" s="2">
        <f t="shared" si="6"/>
        <v>401</v>
      </c>
    </row>
    <row r="403" spans="1:1" x14ac:dyDescent="0.25">
      <c r="A403" s="2">
        <f t="shared" si="6"/>
        <v>402</v>
      </c>
    </row>
    <row r="404" spans="1:1" x14ac:dyDescent="0.25">
      <c r="A404" s="2">
        <f t="shared" si="6"/>
        <v>403</v>
      </c>
    </row>
    <row r="405" spans="1:1" x14ac:dyDescent="0.25">
      <c r="A405" s="2">
        <f t="shared" si="6"/>
        <v>404</v>
      </c>
    </row>
    <row r="406" spans="1:1" x14ac:dyDescent="0.25">
      <c r="A406" s="2">
        <f t="shared" si="6"/>
        <v>405</v>
      </c>
    </row>
    <row r="407" spans="1:1" x14ac:dyDescent="0.25">
      <c r="A407" s="2">
        <f t="shared" si="6"/>
        <v>406</v>
      </c>
    </row>
    <row r="408" spans="1:1" x14ac:dyDescent="0.25">
      <c r="A408" s="2">
        <f t="shared" si="6"/>
        <v>407</v>
      </c>
    </row>
    <row r="409" spans="1:1" x14ac:dyDescent="0.25">
      <c r="A409" s="2">
        <f t="shared" si="6"/>
        <v>408</v>
      </c>
    </row>
    <row r="410" spans="1:1" x14ac:dyDescent="0.25">
      <c r="A410" s="2">
        <f t="shared" si="6"/>
        <v>409</v>
      </c>
    </row>
    <row r="411" spans="1:1" x14ac:dyDescent="0.25">
      <c r="A411" s="2">
        <f t="shared" si="6"/>
        <v>410</v>
      </c>
    </row>
    <row r="412" spans="1:1" x14ac:dyDescent="0.25">
      <c r="A412" s="2">
        <f t="shared" si="6"/>
        <v>411</v>
      </c>
    </row>
    <row r="413" spans="1:1" x14ac:dyDescent="0.25">
      <c r="A413" s="2">
        <f t="shared" si="6"/>
        <v>412</v>
      </c>
    </row>
    <row r="414" spans="1:1" x14ac:dyDescent="0.25">
      <c r="A414" s="2">
        <f t="shared" si="6"/>
        <v>413</v>
      </c>
    </row>
    <row r="415" spans="1:1" x14ac:dyDescent="0.25">
      <c r="A415" s="2">
        <f t="shared" si="6"/>
        <v>414</v>
      </c>
    </row>
    <row r="416" spans="1:1" x14ac:dyDescent="0.25">
      <c r="A416" s="2">
        <f t="shared" si="6"/>
        <v>415</v>
      </c>
    </row>
    <row r="417" spans="1:1" x14ac:dyDescent="0.25">
      <c r="A417" s="2">
        <f t="shared" si="6"/>
        <v>416</v>
      </c>
    </row>
    <row r="418" spans="1:1" x14ac:dyDescent="0.25">
      <c r="A418" s="2">
        <f t="shared" si="6"/>
        <v>417</v>
      </c>
    </row>
    <row r="419" spans="1:1" x14ac:dyDescent="0.25">
      <c r="A419" s="2">
        <f t="shared" si="6"/>
        <v>418</v>
      </c>
    </row>
    <row r="420" spans="1:1" x14ac:dyDescent="0.25">
      <c r="A420" s="2">
        <f t="shared" si="6"/>
        <v>419</v>
      </c>
    </row>
    <row r="421" spans="1:1" x14ac:dyDescent="0.25">
      <c r="A421" s="2">
        <f t="shared" si="6"/>
        <v>420</v>
      </c>
    </row>
    <row r="422" spans="1:1" x14ac:dyDescent="0.25">
      <c r="A422" s="2">
        <f t="shared" si="6"/>
        <v>421</v>
      </c>
    </row>
    <row r="423" spans="1:1" x14ac:dyDescent="0.25">
      <c r="A423" s="2">
        <f t="shared" si="6"/>
        <v>422</v>
      </c>
    </row>
    <row r="424" spans="1:1" x14ac:dyDescent="0.25">
      <c r="A424" s="2">
        <f t="shared" si="6"/>
        <v>423</v>
      </c>
    </row>
    <row r="425" spans="1:1" x14ac:dyDescent="0.25">
      <c r="A425" s="2">
        <f t="shared" si="6"/>
        <v>424</v>
      </c>
    </row>
    <row r="426" spans="1:1" x14ac:dyDescent="0.25">
      <c r="A426" s="2">
        <f t="shared" si="6"/>
        <v>425</v>
      </c>
    </row>
    <row r="427" spans="1:1" x14ac:dyDescent="0.25">
      <c r="A427" s="2">
        <f t="shared" si="6"/>
        <v>426</v>
      </c>
    </row>
    <row r="428" spans="1:1" x14ac:dyDescent="0.25">
      <c r="A428" s="2">
        <f t="shared" si="6"/>
        <v>427</v>
      </c>
    </row>
    <row r="429" spans="1:1" x14ac:dyDescent="0.25">
      <c r="A429" s="2">
        <f t="shared" si="6"/>
        <v>428</v>
      </c>
    </row>
    <row r="430" spans="1:1" x14ac:dyDescent="0.25">
      <c r="A430" s="2">
        <f t="shared" si="6"/>
        <v>429</v>
      </c>
    </row>
    <row r="431" spans="1:1" x14ac:dyDescent="0.25">
      <c r="A431" s="2">
        <f t="shared" si="6"/>
        <v>430</v>
      </c>
    </row>
    <row r="432" spans="1:1" x14ac:dyDescent="0.25">
      <c r="A432" s="2">
        <f t="shared" si="6"/>
        <v>431</v>
      </c>
    </row>
    <row r="433" spans="1:1" x14ac:dyDescent="0.25">
      <c r="A433" s="2">
        <f t="shared" si="6"/>
        <v>432</v>
      </c>
    </row>
    <row r="434" spans="1:1" x14ac:dyDescent="0.25">
      <c r="A434" s="2">
        <f t="shared" si="6"/>
        <v>433</v>
      </c>
    </row>
    <row r="435" spans="1:1" x14ac:dyDescent="0.25">
      <c r="A435" s="2">
        <f t="shared" si="6"/>
        <v>434</v>
      </c>
    </row>
    <row r="436" spans="1:1" x14ac:dyDescent="0.25">
      <c r="A436" s="2">
        <f t="shared" si="6"/>
        <v>435</v>
      </c>
    </row>
    <row r="437" spans="1:1" x14ac:dyDescent="0.25">
      <c r="A437" s="2">
        <f t="shared" si="6"/>
        <v>436</v>
      </c>
    </row>
    <row r="438" spans="1:1" x14ac:dyDescent="0.25">
      <c r="A438" s="2">
        <f t="shared" si="6"/>
        <v>437</v>
      </c>
    </row>
    <row r="439" spans="1:1" x14ac:dyDescent="0.25">
      <c r="A439" s="2">
        <f t="shared" si="6"/>
        <v>438</v>
      </c>
    </row>
    <row r="440" spans="1:1" x14ac:dyDescent="0.25">
      <c r="A440" s="2">
        <f t="shared" si="6"/>
        <v>439</v>
      </c>
    </row>
    <row r="441" spans="1:1" x14ac:dyDescent="0.25">
      <c r="A441" s="2">
        <f t="shared" si="6"/>
        <v>440</v>
      </c>
    </row>
    <row r="442" spans="1:1" x14ac:dyDescent="0.25">
      <c r="A442" s="2">
        <f t="shared" si="6"/>
        <v>441</v>
      </c>
    </row>
    <row r="443" spans="1:1" x14ac:dyDescent="0.25">
      <c r="A443" s="2">
        <f t="shared" si="6"/>
        <v>442</v>
      </c>
    </row>
    <row r="444" spans="1:1" x14ac:dyDescent="0.25">
      <c r="A444" s="2">
        <f t="shared" si="6"/>
        <v>443</v>
      </c>
    </row>
    <row r="445" spans="1:1" x14ac:dyDescent="0.25">
      <c r="A445" s="2">
        <f t="shared" si="6"/>
        <v>444</v>
      </c>
    </row>
    <row r="446" spans="1:1" x14ac:dyDescent="0.25">
      <c r="A446" s="2">
        <f t="shared" si="6"/>
        <v>445</v>
      </c>
    </row>
    <row r="447" spans="1:1" x14ac:dyDescent="0.25">
      <c r="A447" s="2">
        <f t="shared" si="6"/>
        <v>446</v>
      </c>
    </row>
    <row r="448" spans="1:1" x14ac:dyDescent="0.25">
      <c r="A448" s="2">
        <f t="shared" si="6"/>
        <v>447</v>
      </c>
    </row>
    <row r="449" spans="1:1" x14ac:dyDescent="0.25">
      <c r="A449" s="2">
        <f t="shared" si="6"/>
        <v>448</v>
      </c>
    </row>
    <row r="450" spans="1:1" x14ac:dyDescent="0.25">
      <c r="A450" s="2">
        <f t="shared" si="6"/>
        <v>449</v>
      </c>
    </row>
    <row r="451" spans="1:1" x14ac:dyDescent="0.25">
      <c r="A451" s="2">
        <f t="shared" ref="A451:A514" si="7">A450+1</f>
        <v>450</v>
      </c>
    </row>
    <row r="452" spans="1:1" x14ac:dyDescent="0.25">
      <c r="A452" s="2">
        <f t="shared" si="7"/>
        <v>451</v>
      </c>
    </row>
    <row r="453" spans="1:1" x14ac:dyDescent="0.25">
      <c r="A453" s="2">
        <f t="shared" si="7"/>
        <v>452</v>
      </c>
    </row>
    <row r="454" spans="1:1" x14ac:dyDescent="0.25">
      <c r="A454" s="2">
        <f t="shared" si="7"/>
        <v>453</v>
      </c>
    </row>
    <row r="455" spans="1:1" x14ac:dyDescent="0.25">
      <c r="A455" s="2">
        <f t="shared" si="7"/>
        <v>454</v>
      </c>
    </row>
    <row r="456" spans="1:1" x14ac:dyDescent="0.25">
      <c r="A456" s="2">
        <f t="shared" si="7"/>
        <v>455</v>
      </c>
    </row>
    <row r="457" spans="1:1" x14ac:dyDescent="0.25">
      <c r="A457" s="2">
        <f t="shared" si="7"/>
        <v>456</v>
      </c>
    </row>
    <row r="458" spans="1:1" x14ac:dyDescent="0.25">
      <c r="A458" s="2">
        <f t="shared" si="7"/>
        <v>457</v>
      </c>
    </row>
    <row r="459" spans="1:1" x14ac:dyDescent="0.25">
      <c r="A459" s="2">
        <f t="shared" si="7"/>
        <v>458</v>
      </c>
    </row>
    <row r="460" spans="1:1" x14ac:dyDescent="0.25">
      <c r="A460" s="2">
        <f t="shared" si="7"/>
        <v>459</v>
      </c>
    </row>
    <row r="461" spans="1:1" x14ac:dyDescent="0.25">
      <c r="A461" s="2">
        <f t="shared" si="7"/>
        <v>460</v>
      </c>
    </row>
    <row r="462" spans="1:1" x14ac:dyDescent="0.25">
      <c r="A462" s="2">
        <f t="shared" si="7"/>
        <v>461</v>
      </c>
    </row>
    <row r="463" spans="1:1" x14ac:dyDescent="0.25">
      <c r="A463" s="2">
        <f t="shared" si="7"/>
        <v>462</v>
      </c>
    </row>
    <row r="464" spans="1:1" x14ac:dyDescent="0.25">
      <c r="A464" s="2">
        <f t="shared" si="7"/>
        <v>463</v>
      </c>
    </row>
    <row r="465" spans="1:1" x14ac:dyDescent="0.25">
      <c r="A465" s="2">
        <f t="shared" si="7"/>
        <v>464</v>
      </c>
    </row>
    <row r="466" spans="1:1" x14ac:dyDescent="0.25">
      <c r="A466" s="2">
        <f t="shared" si="7"/>
        <v>465</v>
      </c>
    </row>
    <row r="467" spans="1:1" x14ac:dyDescent="0.25">
      <c r="A467" s="2">
        <f t="shared" si="7"/>
        <v>466</v>
      </c>
    </row>
    <row r="468" spans="1:1" x14ac:dyDescent="0.25">
      <c r="A468" s="2">
        <f t="shared" si="7"/>
        <v>467</v>
      </c>
    </row>
    <row r="469" spans="1:1" x14ac:dyDescent="0.25">
      <c r="A469" s="2">
        <f t="shared" si="7"/>
        <v>468</v>
      </c>
    </row>
    <row r="470" spans="1:1" x14ac:dyDescent="0.25">
      <c r="A470" s="2">
        <f t="shared" si="7"/>
        <v>469</v>
      </c>
    </row>
    <row r="471" spans="1:1" x14ac:dyDescent="0.25">
      <c r="A471" s="2">
        <f t="shared" si="7"/>
        <v>470</v>
      </c>
    </row>
    <row r="472" spans="1:1" x14ac:dyDescent="0.25">
      <c r="A472" s="2">
        <f t="shared" si="7"/>
        <v>471</v>
      </c>
    </row>
    <row r="473" spans="1:1" x14ac:dyDescent="0.25">
      <c r="A473" s="2">
        <f t="shared" si="7"/>
        <v>472</v>
      </c>
    </row>
    <row r="474" spans="1:1" x14ac:dyDescent="0.25">
      <c r="A474" s="2">
        <f t="shared" si="7"/>
        <v>473</v>
      </c>
    </row>
    <row r="475" spans="1:1" x14ac:dyDescent="0.25">
      <c r="A475" s="2">
        <f t="shared" si="7"/>
        <v>474</v>
      </c>
    </row>
    <row r="476" spans="1:1" x14ac:dyDescent="0.25">
      <c r="A476" s="2">
        <f t="shared" si="7"/>
        <v>475</v>
      </c>
    </row>
    <row r="477" spans="1:1" x14ac:dyDescent="0.25">
      <c r="A477" s="2">
        <f t="shared" si="7"/>
        <v>476</v>
      </c>
    </row>
    <row r="478" spans="1:1" x14ac:dyDescent="0.25">
      <c r="A478" s="2">
        <f t="shared" si="7"/>
        <v>477</v>
      </c>
    </row>
    <row r="479" spans="1:1" x14ac:dyDescent="0.25">
      <c r="A479" s="2">
        <f t="shared" si="7"/>
        <v>478</v>
      </c>
    </row>
    <row r="480" spans="1:1" x14ac:dyDescent="0.25">
      <c r="A480" s="2">
        <f t="shared" si="7"/>
        <v>479</v>
      </c>
    </row>
    <row r="481" spans="1:1" x14ac:dyDescent="0.25">
      <c r="A481" s="2">
        <f t="shared" si="7"/>
        <v>480</v>
      </c>
    </row>
    <row r="482" spans="1:1" x14ac:dyDescent="0.25">
      <c r="A482" s="2">
        <f t="shared" si="7"/>
        <v>481</v>
      </c>
    </row>
    <row r="483" spans="1:1" x14ac:dyDescent="0.25">
      <c r="A483" s="2">
        <f t="shared" si="7"/>
        <v>482</v>
      </c>
    </row>
    <row r="484" spans="1:1" x14ac:dyDescent="0.25">
      <c r="A484" s="2">
        <f t="shared" si="7"/>
        <v>483</v>
      </c>
    </row>
    <row r="485" spans="1:1" x14ac:dyDescent="0.25">
      <c r="A485" s="2">
        <f t="shared" si="7"/>
        <v>484</v>
      </c>
    </row>
    <row r="486" spans="1:1" x14ac:dyDescent="0.25">
      <c r="A486" s="2">
        <f t="shared" si="7"/>
        <v>485</v>
      </c>
    </row>
    <row r="487" spans="1:1" x14ac:dyDescent="0.25">
      <c r="A487" s="2">
        <f t="shared" si="7"/>
        <v>486</v>
      </c>
    </row>
    <row r="488" spans="1:1" x14ac:dyDescent="0.25">
      <c r="A488" s="2">
        <f t="shared" si="7"/>
        <v>487</v>
      </c>
    </row>
    <row r="489" spans="1:1" x14ac:dyDescent="0.25">
      <c r="A489" s="2">
        <f t="shared" si="7"/>
        <v>488</v>
      </c>
    </row>
    <row r="490" spans="1:1" x14ac:dyDescent="0.25">
      <c r="A490" s="2">
        <f t="shared" si="7"/>
        <v>489</v>
      </c>
    </row>
    <row r="491" spans="1:1" x14ac:dyDescent="0.25">
      <c r="A491" s="2">
        <f t="shared" si="7"/>
        <v>490</v>
      </c>
    </row>
    <row r="492" spans="1:1" x14ac:dyDescent="0.25">
      <c r="A492" s="2">
        <f t="shared" si="7"/>
        <v>491</v>
      </c>
    </row>
    <row r="493" spans="1:1" x14ac:dyDescent="0.25">
      <c r="A493" s="2">
        <f t="shared" si="7"/>
        <v>492</v>
      </c>
    </row>
    <row r="494" spans="1:1" x14ac:dyDescent="0.25">
      <c r="A494" s="2">
        <f t="shared" si="7"/>
        <v>493</v>
      </c>
    </row>
    <row r="495" spans="1:1" x14ac:dyDescent="0.25">
      <c r="A495" s="2">
        <f t="shared" si="7"/>
        <v>494</v>
      </c>
    </row>
    <row r="496" spans="1:1" x14ac:dyDescent="0.25">
      <c r="A496" s="2">
        <f t="shared" si="7"/>
        <v>495</v>
      </c>
    </row>
    <row r="497" spans="1:1" x14ac:dyDescent="0.25">
      <c r="A497" s="2">
        <f t="shared" si="7"/>
        <v>496</v>
      </c>
    </row>
    <row r="498" spans="1:1" x14ac:dyDescent="0.25">
      <c r="A498" s="2">
        <f t="shared" si="7"/>
        <v>497</v>
      </c>
    </row>
    <row r="499" spans="1:1" x14ac:dyDescent="0.25">
      <c r="A499" s="2">
        <f t="shared" si="7"/>
        <v>498</v>
      </c>
    </row>
    <row r="500" spans="1:1" x14ac:dyDescent="0.25">
      <c r="A500" s="2">
        <f t="shared" si="7"/>
        <v>499</v>
      </c>
    </row>
    <row r="501" spans="1:1" x14ac:dyDescent="0.25">
      <c r="A501" s="2">
        <f t="shared" si="7"/>
        <v>500</v>
      </c>
    </row>
    <row r="502" spans="1:1" x14ac:dyDescent="0.25">
      <c r="A502" s="2">
        <f t="shared" si="7"/>
        <v>501</v>
      </c>
    </row>
    <row r="503" spans="1:1" x14ac:dyDescent="0.25">
      <c r="A503" s="2">
        <f t="shared" si="7"/>
        <v>502</v>
      </c>
    </row>
    <row r="504" spans="1:1" x14ac:dyDescent="0.25">
      <c r="A504" s="2">
        <f t="shared" si="7"/>
        <v>503</v>
      </c>
    </row>
    <row r="505" spans="1:1" x14ac:dyDescent="0.25">
      <c r="A505" s="2">
        <f t="shared" si="7"/>
        <v>504</v>
      </c>
    </row>
    <row r="506" spans="1:1" x14ac:dyDescent="0.25">
      <c r="A506" s="2">
        <f t="shared" si="7"/>
        <v>505</v>
      </c>
    </row>
    <row r="507" spans="1:1" x14ac:dyDescent="0.25">
      <c r="A507" s="2">
        <f t="shared" si="7"/>
        <v>506</v>
      </c>
    </row>
    <row r="508" spans="1:1" x14ac:dyDescent="0.25">
      <c r="A508" s="2">
        <f t="shared" si="7"/>
        <v>507</v>
      </c>
    </row>
    <row r="509" spans="1:1" x14ac:dyDescent="0.25">
      <c r="A509" s="2">
        <f t="shared" si="7"/>
        <v>508</v>
      </c>
    </row>
    <row r="510" spans="1:1" x14ac:dyDescent="0.25">
      <c r="A510" s="2">
        <f t="shared" si="7"/>
        <v>509</v>
      </c>
    </row>
    <row r="511" spans="1:1" x14ac:dyDescent="0.25">
      <c r="A511" s="2">
        <f t="shared" si="7"/>
        <v>510</v>
      </c>
    </row>
    <row r="512" spans="1:1" x14ac:dyDescent="0.25">
      <c r="A512" s="2">
        <f t="shared" si="7"/>
        <v>511</v>
      </c>
    </row>
    <row r="513" spans="1:1" x14ac:dyDescent="0.25">
      <c r="A513" s="2">
        <f t="shared" si="7"/>
        <v>512</v>
      </c>
    </row>
    <row r="514" spans="1:1" x14ac:dyDescent="0.25">
      <c r="A514" s="2">
        <f t="shared" si="7"/>
        <v>513</v>
      </c>
    </row>
    <row r="515" spans="1:1" x14ac:dyDescent="0.25">
      <c r="A515" s="2">
        <f t="shared" ref="A515:A578" si="8">A514+1</f>
        <v>514</v>
      </c>
    </row>
    <row r="516" spans="1:1" x14ac:dyDescent="0.25">
      <c r="A516" s="2">
        <f t="shared" si="8"/>
        <v>515</v>
      </c>
    </row>
    <row r="517" spans="1:1" x14ac:dyDescent="0.25">
      <c r="A517" s="2">
        <f t="shared" si="8"/>
        <v>516</v>
      </c>
    </row>
    <row r="518" spans="1:1" x14ac:dyDescent="0.25">
      <c r="A518" s="2">
        <f t="shared" si="8"/>
        <v>517</v>
      </c>
    </row>
    <row r="519" spans="1:1" x14ac:dyDescent="0.25">
      <c r="A519" s="2">
        <f t="shared" si="8"/>
        <v>518</v>
      </c>
    </row>
    <row r="520" spans="1:1" x14ac:dyDescent="0.25">
      <c r="A520" s="2">
        <f t="shared" si="8"/>
        <v>519</v>
      </c>
    </row>
    <row r="521" spans="1:1" x14ac:dyDescent="0.25">
      <c r="A521" s="2">
        <f t="shared" si="8"/>
        <v>520</v>
      </c>
    </row>
    <row r="522" spans="1:1" x14ac:dyDescent="0.25">
      <c r="A522" s="2">
        <f t="shared" si="8"/>
        <v>521</v>
      </c>
    </row>
    <row r="523" spans="1:1" x14ac:dyDescent="0.25">
      <c r="A523" s="2">
        <f t="shared" si="8"/>
        <v>522</v>
      </c>
    </row>
    <row r="524" spans="1:1" x14ac:dyDescent="0.25">
      <c r="A524" s="2">
        <f t="shared" si="8"/>
        <v>523</v>
      </c>
    </row>
    <row r="525" spans="1:1" x14ac:dyDescent="0.25">
      <c r="A525" s="2">
        <f t="shared" si="8"/>
        <v>524</v>
      </c>
    </row>
    <row r="526" spans="1:1" x14ac:dyDescent="0.25">
      <c r="A526" s="2">
        <f t="shared" si="8"/>
        <v>525</v>
      </c>
    </row>
    <row r="527" spans="1:1" x14ac:dyDescent="0.25">
      <c r="A527" s="2">
        <f t="shared" si="8"/>
        <v>526</v>
      </c>
    </row>
    <row r="528" spans="1:1" x14ac:dyDescent="0.25">
      <c r="A528" s="2">
        <f t="shared" si="8"/>
        <v>527</v>
      </c>
    </row>
    <row r="529" spans="1:1" x14ac:dyDescent="0.25">
      <c r="A529" s="2">
        <f t="shared" si="8"/>
        <v>528</v>
      </c>
    </row>
    <row r="530" spans="1:1" x14ac:dyDescent="0.25">
      <c r="A530" s="2">
        <f t="shared" si="8"/>
        <v>529</v>
      </c>
    </row>
    <row r="531" spans="1:1" x14ac:dyDescent="0.25">
      <c r="A531" s="2">
        <f t="shared" si="8"/>
        <v>530</v>
      </c>
    </row>
    <row r="532" spans="1:1" x14ac:dyDescent="0.25">
      <c r="A532" s="2">
        <f t="shared" si="8"/>
        <v>531</v>
      </c>
    </row>
    <row r="533" spans="1:1" x14ac:dyDescent="0.25">
      <c r="A533" s="2">
        <f t="shared" si="8"/>
        <v>532</v>
      </c>
    </row>
    <row r="534" spans="1:1" x14ac:dyDescent="0.25">
      <c r="A534" s="2">
        <f t="shared" si="8"/>
        <v>533</v>
      </c>
    </row>
    <row r="535" spans="1:1" x14ac:dyDescent="0.25">
      <c r="A535" s="2">
        <f t="shared" si="8"/>
        <v>534</v>
      </c>
    </row>
    <row r="536" spans="1:1" x14ac:dyDescent="0.25">
      <c r="A536" s="2">
        <f t="shared" si="8"/>
        <v>535</v>
      </c>
    </row>
    <row r="537" spans="1:1" x14ac:dyDescent="0.25">
      <c r="A537" s="2">
        <f t="shared" si="8"/>
        <v>536</v>
      </c>
    </row>
    <row r="538" spans="1:1" x14ac:dyDescent="0.25">
      <c r="A538" s="2">
        <f t="shared" si="8"/>
        <v>537</v>
      </c>
    </row>
    <row r="539" spans="1:1" x14ac:dyDescent="0.25">
      <c r="A539" s="2">
        <f t="shared" si="8"/>
        <v>538</v>
      </c>
    </row>
    <row r="540" spans="1:1" x14ac:dyDescent="0.25">
      <c r="A540" s="2">
        <f t="shared" si="8"/>
        <v>539</v>
      </c>
    </row>
    <row r="541" spans="1:1" x14ac:dyDescent="0.25">
      <c r="A541" s="2">
        <f t="shared" si="8"/>
        <v>540</v>
      </c>
    </row>
    <row r="542" spans="1:1" x14ac:dyDescent="0.25">
      <c r="A542" s="2">
        <f t="shared" si="8"/>
        <v>541</v>
      </c>
    </row>
    <row r="543" spans="1:1" x14ac:dyDescent="0.25">
      <c r="A543" s="2">
        <f t="shared" si="8"/>
        <v>542</v>
      </c>
    </row>
    <row r="544" spans="1:1" x14ac:dyDescent="0.25">
      <c r="A544" s="2">
        <f t="shared" si="8"/>
        <v>543</v>
      </c>
    </row>
    <row r="545" spans="1:1" x14ac:dyDescent="0.25">
      <c r="A545" s="2">
        <f t="shared" si="8"/>
        <v>544</v>
      </c>
    </row>
    <row r="546" spans="1:1" x14ac:dyDescent="0.25">
      <c r="A546" s="2">
        <f t="shared" si="8"/>
        <v>545</v>
      </c>
    </row>
    <row r="547" spans="1:1" x14ac:dyDescent="0.25">
      <c r="A547" s="2">
        <f t="shared" si="8"/>
        <v>546</v>
      </c>
    </row>
    <row r="548" spans="1:1" x14ac:dyDescent="0.25">
      <c r="A548" s="2">
        <f t="shared" si="8"/>
        <v>547</v>
      </c>
    </row>
    <row r="549" spans="1:1" x14ac:dyDescent="0.25">
      <c r="A549" s="2">
        <f t="shared" si="8"/>
        <v>548</v>
      </c>
    </row>
    <row r="550" spans="1:1" x14ac:dyDescent="0.25">
      <c r="A550" s="2">
        <f t="shared" si="8"/>
        <v>549</v>
      </c>
    </row>
    <row r="551" spans="1:1" x14ac:dyDescent="0.25">
      <c r="A551" s="2">
        <f t="shared" si="8"/>
        <v>550</v>
      </c>
    </row>
    <row r="552" spans="1:1" x14ac:dyDescent="0.25">
      <c r="A552" s="2">
        <f t="shared" si="8"/>
        <v>551</v>
      </c>
    </row>
    <row r="553" spans="1:1" x14ac:dyDescent="0.25">
      <c r="A553" s="2">
        <f t="shared" si="8"/>
        <v>552</v>
      </c>
    </row>
    <row r="554" spans="1:1" x14ac:dyDescent="0.25">
      <c r="A554" s="2">
        <f t="shared" si="8"/>
        <v>553</v>
      </c>
    </row>
    <row r="555" spans="1:1" x14ac:dyDescent="0.25">
      <c r="A555" s="2">
        <f t="shared" si="8"/>
        <v>554</v>
      </c>
    </row>
    <row r="556" spans="1:1" x14ac:dyDescent="0.25">
      <c r="A556" s="2">
        <f t="shared" si="8"/>
        <v>555</v>
      </c>
    </row>
    <row r="557" spans="1:1" x14ac:dyDescent="0.25">
      <c r="A557" s="2">
        <f t="shared" si="8"/>
        <v>556</v>
      </c>
    </row>
    <row r="558" spans="1:1" x14ac:dyDescent="0.25">
      <c r="A558" s="2">
        <f t="shared" si="8"/>
        <v>557</v>
      </c>
    </row>
    <row r="559" spans="1:1" x14ac:dyDescent="0.25">
      <c r="A559" s="2">
        <f t="shared" si="8"/>
        <v>558</v>
      </c>
    </row>
    <row r="560" spans="1:1" x14ac:dyDescent="0.25">
      <c r="A560" s="2">
        <f t="shared" si="8"/>
        <v>559</v>
      </c>
    </row>
    <row r="561" spans="1:1" x14ac:dyDescent="0.25">
      <c r="A561" s="2">
        <f t="shared" si="8"/>
        <v>560</v>
      </c>
    </row>
    <row r="562" spans="1:1" x14ac:dyDescent="0.25">
      <c r="A562" s="2">
        <f t="shared" si="8"/>
        <v>561</v>
      </c>
    </row>
    <row r="563" spans="1:1" x14ac:dyDescent="0.25">
      <c r="A563" s="2">
        <f t="shared" si="8"/>
        <v>562</v>
      </c>
    </row>
    <row r="564" spans="1:1" x14ac:dyDescent="0.25">
      <c r="A564" s="2">
        <f t="shared" si="8"/>
        <v>563</v>
      </c>
    </row>
    <row r="565" spans="1:1" x14ac:dyDescent="0.25">
      <c r="A565" s="2">
        <f t="shared" si="8"/>
        <v>564</v>
      </c>
    </row>
    <row r="566" spans="1:1" x14ac:dyDescent="0.25">
      <c r="A566" s="2">
        <f t="shared" si="8"/>
        <v>565</v>
      </c>
    </row>
    <row r="567" spans="1:1" x14ac:dyDescent="0.25">
      <c r="A567" s="2">
        <f t="shared" si="8"/>
        <v>566</v>
      </c>
    </row>
    <row r="568" spans="1:1" x14ac:dyDescent="0.25">
      <c r="A568" s="2">
        <f t="shared" si="8"/>
        <v>567</v>
      </c>
    </row>
    <row r="569" spans="1:1" x14ac:dyDescent="0.25">
      <c r="A569" s="2">
        <f t="shared" si="8"/>
        <v>568</v>
      </c>
    </row>
    <row r="570" spans="1:1" x14ac:dyDescent="0.25">
      <c r="A570" s="2">
        <f t="shared" si="8"/>
        <v>569</v>
      </c>
    </row>
    <row r="571" spans="1:1" x14ac:dyDescent="0.25">
      <c r="A571" s="2">
        <f t="shared" si="8"/>
        <v>570</v>
      </c>
    </row>
    <row r="572" spans="1:1" x14ac:dyDescent="0.25">
      <c r="A572" s="2">
        <f t="shared" si="8"/>
        <v>571</v>
      </c>
    </row>
    <row r="573" spans="1:1" x14ac:dyDescent="0.25">
      <c r="A573" s="2">
        <f t="shared" si="8"/>
        <v>572</v>
      </c>
    </row>
    <row r="574" spans="1:1" x14ac:dyDescent="0.25">
      <c r="A574" s="2">
        <f t="shared" si="8"/>
        <v>573</v>
      </c>
    </row>
    <row r="575" spans="1:1" x14ac:dyDescent="0.25">
      <c r="A575" s="2">
        <f t="shared" si="8"/>
        <v>574</v>
      </c>
    </row>
    <row r="576" spans="1:1" x14ac:dyDescent="0.25">
      <c r="A576" s="2">
        <f t="shared" si="8"/>
        <v>575</v>
      </c>
    </row>
    <row r="577" spans="1:1" x14ac:dyDescent="0.25">
      <c r="A577" s="2">
        <f t="shared" si="8"/>
        <v>576</v>
      </c>
    </row>
    <row r="578" spans="1:1" x14ac:dyDescent="0.25">
      <c r="A578" s="2">
        <f t="shared" si="8"/>
        <v>577</v>
      </c>
    </row>
    <row r="579" spans="1:1" x14ac:dyDescent="0.25">
      <c r="A579" s="2">
        <f t="shared" ref="A579:A642" si="9">A578+1</f>
        <v>578</v>
      </c>
    </row>
    <row r="580" spans="1:1" x14ac:dyDescent="0.25">
      <c r="A580" s="2">
        <f t="shared" si="9"/>
        <v>579</v>
      </c>
    </row>
    <row r="581" spans="1:1" x14ac:dyDescent="0.25">
      <c r="A581" s="2">
        <f t="shared" si="9"/>
        <v>580</v>
      </c>
    </row>
    <row r="582" spans="1:1" x14ac:dyDescent="0.25">
      <c r="A582" s="2">
        <f t="shared" si="9"/>
        <v>581</v>
      </c>
    </row>
    <row r="583" spans="1:1" x14ac:dyDescent="0.25">
      <c r="A583" s="2">
        <f t="shared" si="9"/>
        <v>582</v>
      </c>
    </row>
    <row r="584" spans="1:1" x14ac:dyDescent="0.25">
      <c r="A584" s="2">
        <f t="shared" si="9"/>
        <v>583</v>
      </c>
    </row>
    <row r="585" spans="1:1" x14ac:dyDescent="0.25">
      <c r="A585" s="2">
        <f t="shared" si="9"/>
        <v>584</v>
      </c>
    </row>
    <row r="586" spans="1:1" x14ac:dyDescent="0.25">
      <c r="A586" s="2">
        <f t="shared" si="9"/>
        <v>585</v>
      </c>
    </row>
    <row r="587" spans="1:1" x14ac:dyDescent="0.25">
      <c r="A587" s="2">
        <f t="shared" si="9"/>
        <v>586</v>
      </c>
    </row>
    <row r="588" spans="1:1" x14ac:dyDescent="0.25">
      <c r="A588" s="2">
        <f t="shared" si="9"/>
        <v>587</v>
      </c>
    </row>
    <row r="589" spans="1:1" x14ac:dyDescent="0.25">
      <c r="A589" s="2">
        <f t="shared" si="9"/>
        <v>588</v>
      </c>
    </row>
    <row r="590" spans="1:1" x14ac:dyDescent="0.25">
      <c r="A590" s="2">
        <f t="shared" si="9"/>
        <v>589</v>
      </c>
    </row>
    <row r="591" spans="1:1" x14ac:dyDescent="0.25">
      <c r="A591" s="2">
        <f t="shared" si="9"/>
        <v>590</v>
      </c>
    </row>
    <row r="592" spans="1:1" x14ac:dyDescent="0.25">
      <c r="A592" s="2">
        <f t="shared" si="9"/>
        <v>591</v>
      </c>
    </row>
    <row r="593" spans="1:1" x14ac:dyDescent="0.25">
      <c r="A593" s="2">
        <f t="shared" si="9"/>
        <v>592</v>
      </c>
    </row>
    <row r="594" spans="1:1" x14ac:dyDescent="0.25">
      <c r="A594" s="2">
        <f t="shared" si="9"/>
        <v>593</v>
      </c>
    </row>
    <row r="595" spans="1:1" x14ac:dyDescent="0.25">
      <c r="A595" s="2">
        <f t="shared" si="9"/>
        <v>594</v>
      </c>
    </row>
    <row r="596" spans="1:1" x14ac:dyDescent="0.25">
      <c r="A596" s="2">
        <f t="shared" si="9"/>
        <v>595</v>
      </c>
    </row>
    <row r="597" spans="1:1" x14ac:dyDescent="0.25">
      <c r="A597" s="2">
        <f t="shared" si="9"/>
        <v>596</v>
      </c>
    </row>
    <row r="598" spans="1:1" x14ac:dyDescent="0.25">
      <c r="A598" s="2">
        <f t="shared" si="9"/>
        <v>597</v>
      </c>
    </row>
    <row r="599" spans="1:1" x14ac:dyDescent="0.25">
      <c r="A599" s="2">
        <f t="shared" si="9"/>
        <v>598</v>
      </c>
    </row>
    <row r="600" spans="1:1" x14ac:dyDescent="0.25">
      <c r="A600" s="2">
        <f t="shared" si="9"/>
        <v>599</v>
      </c>
    </row>
    <row r="601" spans="1:1" x14ac:dyDescent="0.25">
      <c r="A601" s="2">
        <f t="shared" si="9"/>
        <v>600</v>
      </c>
    </row>
    <row r="602" spans="1:1" x14ac:dyDescent="0.25">
      <c r="A602" s="2">
        <f t="shared" si="9"/>
        <v>601</v>
      </c>
    </row>
    <row r="603" spans="1:1" x14ac:dyDescent="0.25">
      <c r="A603" s="2">
        <f t="shared" si="9"/>
        <v>602</v>
      </c>
    </row>
    <row r="604" spans="1:1" x14ac:dyDescent="0.25">
      <c r="A604" s="2">
        <f t="shared" si="9"/>
        <v>603</v>
      </c>
    </row>
    <row r="605" spans="1:1" x14ac:dyDescent="0.25">
      <c r="A605" s="2">
        <f t="shared" si="9"/>
        <v>604</v>
      </c>
    </row>
    <row r="606" spans="1:1" x14ac:dyDescent="0.25">
      <c r="A606" s="2">
        <f t="shared" si="9"/>
        <v>605</v>
      </c>
    </row>
    <row r="607" spans="1:1" x14ac:dyDescent="0.25">
      <c r="A607" s="2">
        <f t="shared" si="9"/>
        <v>606</v>
      </c>
    </row>
    <row r="608" spans="1:1" x14ac:dyDescent="0.25">
      <c r="A608" s="2">
        <f t="shared" si="9"/>
        <v>607</v>
      </c>
    </row>
    <row r="609" spans="1:1" x14ac:dyDescent="0.25">
      <c r="A609" s="2">
        <f t="shared" si="9"/>
        <v>608</v>
      </c>
    </row>
    <row r="610" spans="1:1" x14ac:dyDescent="0.25">
      <c r="A610" s="2">
        <f t="shared" si="9"/>
        <v>609</v>
      </c>
    </row>
    <row r="611" spans="1:1" x14ac:dyDescent="0.25">
      <c r="A611" s="2">
        <f t="shared" si="9"/>
        <v>610</v>
      </c>
    </row>
    <row r="612" spans="1:1" x14ac:dyDescent="0.25">
      <c r="A612" s="2">
        <f t="shared" si="9"/>
        <v>611</v>
      </c>
    </row>
    <row r="613" spans="1:1" x14ac:dyDescent="0.25">
      <c r="A613" s="2">
        <f t="shared" si="9"/>
        <v>612</v>
      </c>
    </row>
    <row r="614" spans="1:1" x14ac:dyDescent="0.25">
      <c r="A614" s="2">
        <f t="shared" si="9"/>
        <v>613</v>
      </c>
    </row>
    <row r="615" spans="1:1" x14ac:dyDescent="0.25">
      <c r="A615" s="2">
        <f t="shared" si="9"/>
        <v>614</v>
      </c>
    </row>
    <row r="616" spans="1:1" x14ac:dyDescent="0.25">
      <c r="A616" s="2">
        <f t="shared" si="9"/>
        <v>615</v>
      </c>
    </row>
    <row r="617" spans="1:1" x14ac:dyDescent="0.25">
      <c r="A617" s="2">
        <f t="shared" si="9"/>
        <v>616</v>
      </c>
    </row>
    <row r="618" spans="1:1" x14ac:dyDescent="0.25">
      <c r="A618" s="2">
        <f t="shared" si="9"/>
        <v>617</v>
      </c>
    </row>
    <row r="619" spans="1:1" x14ac:dyDescent="0.25">
      <c r="A619" s="2">
        <f t="shared" si="9"/>
        <v>618</v>
      </c>
    </row>
    <row r="620" spans="1:1" x14ac:dyDescent="0.25">
      <c r="A620" s="2">
        <f t="shared" si="9"/>
        <v>619</v>
      </c>
    </row>
    <row r="621" spans="1:1" x14ac:dyDescent="0.25">
      <c r="A621" s="2">
        <f t="shared" si="9"/>
        <v>620</v>
      </c>
    </row>
    <row r="622" spans="1:1" x14ac:dyDescent="0.25">
      <c r="A622" s="2">
        <f t="shared" si="9"/>
        <v>621</v>
      </c>
    </row>
    <row r="623" spans="1:1" x14ac:dyDescent="0.25">
      <c r="A623" s="2">
        <f t="shared" si="9"/>
        <v>622</v>
      </c>
    </row>
    <row r="624" spans="1:1" x14ac:dyDescent="0.25">
      <c r="A624" s="2">
        <f t="shared" si="9"/>
        <v>623</v>
      </c>
    </row>
    <row r="625" spans="1:1" x14ac:dyDescent="0.25">
      <c r="A625" s="2">
        <f t="shared" si="9"/>
        <v>624</v>
      </c>
    </row>
    <row r="626" spans="1:1" x14ac:dyDescent="0.25">
      <c r="A626" s="2">
        <f t="shared" si="9"/>
        <v>625</v>
      </c>
    </row>
    <row r="627" spans="1:1" x14ac:dyDescent="0.25">
      <c r="A627" s="2">
        <f t="shared" si="9"/>
        <v>626</v>
      </c>
    </row>
    <row r="628" spans="1:1" x14ac:dyDescent="0.25">
      <c r="A628" s="2">
        <f t="shared" si="9"/>
        <v>627</v>
      </c>
    </row>
    <row r="629" spans="1:1" x14ac:dyDescent="0.25">
      <c r="A629" s="2">
        <f t="shared" si="9"/>
        <v>628</v>
      </c>
    </row>
    <row r="630" spans="1:1" x14ac:dyDescent="0.25">
      <c r="A630" s="2">
        <f t="shared" si="9"/>
        <v>629</v>
      </c>
    </row>
    <row r="631" spans="1:1" x14ac:dyDescent="0.25">
      <c r="A631" s="2">
        <f t="shared" si="9"/>
        <v>630</v>
      </c>
    </row>
    <row r="632" spans="1:1" x14ac:dyDescent="0.25">
      <c r="A632" s="2">
        <f t="shared" si="9"/>
        <v>631</v>
      </c>
    </row>
    <row r="633" spans="1:1" x14ac:dyDescent="0.25">
      <c r="A633" s="2">
        <f t="shared" si="9"/>
        <v>632</v>
      </c>
    </row>
    <row r="634" spans="1:1" x14ac:dyDescent="0.25">
      <c r="A634" s="2">
        <f t="shared" si="9"/>
        <v>633</v>
      </c>
    </row>
    <row r="635" spans="1:1" x14ac:dyDescent="0.25">
      <c r="A635" s="2">
        <f t="shared" si="9"/>
        <v>634</v>
      </c>
    </row>
    <row r="636" spans="1:1" x14ac:dyDescent="0.25">
      <c r="A636" s="2">
        <f t="shared" si="9"/>
        <v>635</v>
      </c>
    </row>
    <row r="637" spans="1:1" x14ac:dyDescent="0.25">
      <c r="A637" s="2">
        <f t="shared" si="9"/>
        <v>636</v>
      </c>
    </row>
    <row r="638" spans="1:1" x14ac:dyDescent="0.25">
      <c r="A638" s="2">
        <f t="shared" si="9"/>
        <v>637</v>
      </c>
    </row>
    <row r="639" spans="1:1" x14ac:dyDescent="0.25">
      <c r="A639" s="2">
        <f t="shared" si="9"/>
        <v>638</v>
      </c>
    </row>
    <row r="640" spans="1:1" x14ac:dyDescent="0.25">
      <c r="A640" s="2">
        <f t="shared" si="9"/>
        <v>639</v>
      </c>
    </row>
    <row r="641" spans="1:1" x14ac:dyDescent="0.25">
      <c r="A641" s="2">
        <f t="shared" si="9"/>
        <v>640</v>
      </c>
    </row>
    <row r="642" spans="1:1" x14ac:dyDescent="0.25">
      <c r="A642" s="2">
        <f t="shared" si="9"/>
        <v>641</v>
      </c>
    </row>
    <row r="643" spans="1:1" x14ac:dyDescent="0.25">
      <c r="A643" s="2">
        <f t="shared" ref="A643:A706" si="10">A642+1</f>
        <v>642</v>
      </c>
    </row>
    <row r="644" spans="1:1" x14ac:dyDescent="0.25">
      <c r="A644" s="2">
        <f t="shared" si="10"/>
        <v>643</v>
      </c>
    </row>
    <row r="645" spans="1:1" x14ac:dyDescent="0.25">
      <c r="A645" s="2">
        <f t="shared" si="10"/>
        <v>644</v>
      </c>
    </row>
    <row r="646" spans="1:1" x14ac:dyDescent="0.25">
      <c r="A646" s="2">
        <f t="shared" si="10"/>
        <v>645</v>
      </c>
    </row>
    <row r="647" spans="1:1" x14ac:dyDescent="0.25">
      <c r="A647" s="2">
        <f t="shared" si="10"/>
        <v>646</v>
      </c>
    </row>
    <row r="648" spans="1:1" x14ac:dyDescent="0.25">
      <c r="A648" s="2">
        <f t="shared" si="10"/>
        <v>647</v>
      </c>
    </row>
    <row r="649" spans="1:1" x14ac:dyDescent="0.25">
      <c r="A649" s="2">
        <f t="shared" si="10"/>
        <v>648</v>
      </c>
    </row>
    <row r="650" spans="1:1" x14ac:dyDescent="0.25">
      <c r="A650" s="2">
        <f t="shared" si="10"/>
        <v>649</v>
      </c>
    </row>
    <row r="651" spans="1:1" x14ac:dyDescent="0.25">
      <c r="A651" s="2">
        <f t="shared" si="10"/>
        <v>650</v>
      </c>
    </row>
    <row r="652" spans="1:1" x14ac:dyDescent="0.25">
      <c r="A652" s="2">
        <f t="shared" si="10"/>
        <v>651</v>
      </c>
    </row>
    <row r="653" spans="1:1" x14ac:dyDescent="0.25">
      <c r="A653" s="2">
        <f t="shared" si="10"/>
        <v>652</v>
      </c>
    </row>
    <row r="654" spans="1:1" x14ac:dyDescent="0.25">
      <c r="A654" s="2">
        <f t="shared" si="10"/>
        <v>653</v>
      </c>
    </row>
    <row r="655" spans="1:1" x14ac:dyDescent="0.25">
      <c r="A655" s="2">
        <f t="shared" si="10"/>
        <v>654</v>
      </c>
    </row>
    <row r="656" spans="1:1" x14ac:dyDescent="0.25">
      <c r="A656" s="2">
        <f t="shared" si="10"/>
        <v>655</v>
      </c>
    </row>
    <row r="657" spans="1:1" x14ac:dyDescent="0.25">
      <c r="A657" s="2">
        <f t="shared" si="10"/>
        <v>656</v>
      </c>
    </row>
    <row r="658" spans="1:1" x14ac:dyDescent="0.25">
      <c r="A658" s="2">
        <f t="shared" si="10"/>
        <v>657</v>
      </c>
    </row>
    <row r="659" spans="1:1" x14ac:dyDescent="0.25">
      <c r="A659" s="2">
        <f t="shared" si="10"/>
        <v>658</v>
      </c>
    </row>
    <row r="660" spans="1:1" x14ac:dyDescent="0.25">
      <c r="A660" s="2">
        <f t="shared" si="10"/>
        <v>659</v>
      </c>
    </row>
    <row r="661" spans="1:1" x14ac:dyDescent="0.25">
      <c r="A661" s="2">
        <f t="shared" si="10"/>
        <v>660</v>
      </c>
    </row>
    <row r="662" spans="1:1" x14ac:dyDescent="0.25">
      <c r="A662" s="2">
        <f t="shared" si="10"/>
        <v>661</v>
      </c>
    </row>
    <row r="663" spans="1:1" x14ac:dyDescent="0.25">
      <c r="A663" s="2">
        <f t="shared" si="10"/>
        <v>662</v>
      </c>
    </row>
    <row r="664" spans="1:1" x14ac:dyDescent="0.25">
      <c r="A664" s="2">
        <f t="shared" si="10"/>
        <v>663</v>
      </c>
    </row>
    <row r="665" spans="1:1" x14ac:dyDescent="0.25">
      <c r="A665" s="2">
        <f t="shared" si="10"/>
        <v>664</v>
      </c>
    </row>
    <row r="666" spans="1:1" x14ac:dyDescent="0.25">
      <c r="A666" s="2">
        <f t="shared" si="10"/>
        <v>665</v>
      </c>
    </row>
    <row r="667" spans="1:1" x14ac:dyDescent="0.25">
      <c r="A667" s="2">
        <f t="shared" si="10"/>
        <v>666</v>
      </c>
    </row>
    <row r="668" spans="1:1" x14ac:dyDescent="0.25">
      <c r="A668" s="2">
        <f t="shared" si="10"/>
        <v>667</v>
      </c>
    </row>
    <row r="669" spans="1:1" x14ac:dyDescent="0.25">
      <c r="A669" s="2">
        <f t="shared" si="10"/>
        <v>668</v>
      </c>
    </row>
    <row r="670" spans="1:1" x14ac:dyDescent="0.25">
      <c r="A670" s="2">
        <f t="shared" si="10"/>
        <v>669</v>
      </c>
    </row>
    <row r="671" spans="1:1" x14ac:dyDescent="0.25">
      <c r="A671" s="2">
        <f t="shared" si="10"/>
        <v>670</v>
      </c>
    </row>
    <row r="672" spans="1:1" x14ac:dyDescent="0.25">
      <c r="A672" s="2">
        <f t="shared" si="10"/>
        <v>671</v>
      </c>
    </row>
    <row r="673" spans="1:1" x14ac:dyDescent="0.25">
      <c r="A673" s="2">
        <f t="shared" si="10"/>
        <v>672</v>
      </c>
    </row>
    <row r="674" spans="1:1" x14ac:dyDescent="0.25">
      <c r="A674" s="2">
        <f t="shared" si="10"/>
        <v>673</v>
      </c>
    </row>
    <row r="675" spans="1:1" x14ac:dyDescent="0.25">
      <c r="A675" s="2">
        <f t="shared" si="10"/>
        <v>674</v>
      </c>
    </row>
    <row r="676" spans="1:1" x14ac:dyDescent="0.25">
      <c r="A676" s="2">
        <f t="shared" si="10"/>
        <v>675</v>
      </c>
    </row>
    <row r="677" spans="1:1" x14ac:dyDescent="0.25">
      <c r="A677" s="2">
        <f t="shared" si="10"/>
        <v>676</v>
      </c>
    </row>
    <row r="678" spans="1:1" x14ac:dyDescent="0.25">
      <c r="A678" s="2">
        <f t="shared" si="10"/>
        <v>677</v>
      </c>
    </row>
    <row r="679" spans="1:1" x14ac:dyDescent="0.25">
      <c r="A679" s="2">
        <f t="shared" si="10"/>
        <v>678</v>
      </c>
    </row>
    <row r="680" spans="1:1" x14ac:dyDescent="0.25">
      <c r="A680" s="2">
        <f t="shared" si="10"/>
        <v>679</v>
      </c>
    </row>
    <row r="681" spans="1:1" x14ac:dyDescent="0.25">
      <c r="A681" s="2">
        <f t="shared" si="10"/>
        <v>680</v>
      </c>
    </row>
    <row r="682" spans="1:1" x14ac:dyDescent="0.25">
      <c r="A682" s="2">
        <f t="shared" si="10"/>
        <v>681</v>
      </c>
    </row>
    <row r="683" spans="1:1" x14ac:dyDescent="0.25">
      <c r="A683" s="2">
        <f t="shared" si="10"/>
        <v>682</v>
      </c>
    </row>
    <row r="684" spans="1:1" x14ac:dyDescent="0.25">
      <c r="A684" s="2">
        <f t="shared" si="10"/>
        <v>683</v>
      </c>
    </row>
    <row r="685" spans="1:1" x14ac:dyDescent="0.25">
      <c r="A685" s="2">
        <f t="shared" si="10"/>
        <v>684</v>
      </c>
    </row>
    <row r="686" spans="1:1" x14ac:dyDescent="0.25">
      <c r="A686" s="2">
        <f t="shared" si="10"/>
        <v>685</v>
      </c>
    </row>
    <row r="687" spans="1:1" x14ac:dyDescent="0.25">
      <c r="A687" s="2">
        <f t="shared" si="10"/>
        <v>686</v>
      </c>
    </row>
    <row r="688" spans="1:1" x14ac:dyDescent="0.25">
      <c r="A688" s="2">
        <f t="shared" si="10"/>
        <v>687</v>
      </c>
    </row>
    <row r="689" spans="1:1" x14ac:dyDescent="0.25">
      <c r="A689" s="2">
        <f t="shared" si="10"/>
        <v>688</v>
      </c>
    </row>
    <row r="690" spans="1:1" x14ac:dyDescent="0.25">
      <c r="A690" s="2">
        <f t="shared" si="10"/>
        <v>689</v>
      </c>
    </row>
    <row r="691" spans="1:1" x14ac:dyDescent="0.25">
      <c r="A691" s="2">
        <f t="shared" si="10"/>
        <v>690</v>
      </c>
    </row>
    <row r="692" spans="1:1" x14ac:dyDescent="0.25">
      <c r="A692" s="2">
        <f t="shared" si="10"/>
        <v>691</v>
      </c>
    </row>
    <row r="693" spans="1:1" x14ac:dyDescent="0.25">
      <c r="A693" s="2">
        <f t="shared" si="10"/>
        <v>692</v>
      </c>
    </row>
    <row r="694" spans="1:1" x14ac:dyDescent="0.25">
      <c r="A694" s="2">
        <f t="shared" si="10"/>
        <v>693</v>
      </c>
    </row>
    <row r="695" spans="1:1" x14ac:dyDescent="0.25">
      <c r="A695" s="2">
        <f t="shared" si="10"/>
        <v>694</v>
      </c>
    </row>
    <row r="696" spans="1:1" x14ac:dyDescent="0.25">
      <c r="A696" s="2">
        <f t="shared" si="10"/>
        <v>695</v>
      </c>
    </row>
    <row r="697" spans="1:1" x14ac:dyDescent="0.25">
      <c r="A697" s="2">
        <f t="shared" si="10"/>
        <v>696</v>
      </c>
    </row>
    <row r="698" spans="1:1" x14ac:dyDescent="0.25">
      <c r="A698" s="2">
        <f t="shared" si="10"/>
        <v>697</v>
      </c>
    </row>
    <row r="699" spans="1:1" x14ac:dyDescent="0.25">
      <c r="A699" s="2">
        <f t="shared" si="10"/>
        <v>698</v>
      </c>
    </row>
    <row r="700" spans="1:1" x14ac:dyDescent="0.25">
      <c r="A700" s="2">
        <f t="shared" si="10"/>
        <v>699</v>
      </c>
    </row>
    <row r="701" spans="1:1" x14ac:dyDescent="0.25">
      <c r="A701" s="2">
        <f t="shared" si="10"/>
        <v>700</v>
      </c>
    </row>
    <row r="702" spans="1:1" x14ac:dyDescent="0.25">
      <c r="A702" s="2">
        <f t="shared" si="10"/>
        <v>701</v>
      </c>
    </row>
    <row r="703" spans="1:1" x14ac:dyDescent="0.25">
      <c r="A703" s="2">
        <f t="shared" si="10"/>
        <v>702</v>
      </c>
    </row>
    <row r="704" spans="1:1" x14ac:dyDescent="0.25">
      <c r="A704" s="2">
        <f t="shared" si="10"/>
        <v>703</v>
      </c>
    </row>
    <row r="705" spans="1:1" x14ac:dyDescent="0.25">
      <c r="A705" s="2">
        <f t="shared" si="10"/>
        <v>704</v>
      </c>
    </row>
    <row r="706" spans="1:1" x14ac:dyDescent="0.25">
      <c r="A706" s="2">
        <f t="shared" si="10"/>
        <v>705</v>
      </c>
    </row>
    <row r="707" spans="1:1" x14ac:dyDescent="0.25">
      <c r="A707" s="2">
        <f t="shared" ref="A707:A770" si="11">A706+1</f>
        <v>706</v>
      </c>
    </row>
    <row r="708" spans="1:1" x14ac:dyDescent="0.25">
      <c r="A708" s="2">
        <f t="shared" si="11"/>
        <v>707</v>
      </c>
    </row>
    <row r="709" spans="1:1" x14ac:dyDescent="0.25">
      <c r="A709" s="2">
        <f t="shared" si="11"/>
        <v>708</v>
      </c>
    </row>
    <row r="710" spans="1:1" x14ac:dyDescent="0.25">
      <c r="A710" s="2">
        <f t="shared" si="11"/>
        <v>709</v>
      </c>
    </row>
    <row r="711" spans="1:1" x14ac:dyDescent="0.25">
      <c r="A711" s="2">
        <f t="shared" si="11"/>
        <v>710</v>
      </c>
    </row>
    <row r="712" spans="1:1" x14ac:dyDescent="0.25">
      <c r="A712" s="2">
        <f t="shared" si="11"/>
        <v>711</v>
      </c>
    </row>
    <row r="713" spans="1:1" x14ac:dyDescent="0.25">
      <c r="A713" s="2">
        <f t="shared" si="11"/>
        <v>712</v>
      </c>
    </row>
    <row r="714" spans="1:1" x14ac:dyDescent="0.25">
      <c r="A714" s="2">
        <f t="shared" si="11"/>
        <v>713</v>
      </c>
    </row>
    <row r="715" spans="1:1" x14ac:dyDescent="0.25">
      <c r="A715" s="2">
        <f t="shared" si="11"/>
        <v>714</v>
      </c>
    </row>
    <row r="716" spans="1:1" x14ac:dyDescent="0.25">
      <c r="A716" s="2">
        <f t="shared" si="11"/>
        <v>715</v>
      </c>
    </row>
    <row r="717" spans="1:1" x14ac:dyDescent="0.25">
      <c r="A717" s="2">
        <f t="shared" si="11"/>
        <v>716</v>
      </c>
    </row>
    <row r="718" spans="1:1" x14ac:dyDescent="0.25">
      <c r="A718" s="2">
        <f t="shared" si="11"/>
        <v>717</v>
      </c>
    </row>
    <row r="719" spans="1:1" x14ac:dyDescent="0.25">
      <c r="A719" s="2">
        <f t="shared" si="11"/>
        <v>718</v>
      </c>
    </row>
    <row r="720" spans="1:1" x14ac:dyDescent="0.25">
      <c r="A720" s="2">
        <f t="shared" si="11"/>
        <v>719</v>
      </c>
    </row>
    <row r="721" spans="1:1" x14ac:dyDescent="0.25">
      <c r="A721" s="2">
        <f t="shared" si="11"/>
        <v>720</v>
      </c>
    </row>
    <row r="722" spans="1:1" x14ac:dyDescent="0.25">
      <c r="A722" s="2">
        <f t="shared" si="11"/>
        <v>721</v>
      </c>
    </row>
    <row r="723" spans="1:1" x14ac:dyDescent="0.25">
      <c r="A723" s="2">
        <f t="shared" si="11"/>
        <v>722</v>
      </c>
    </row>
    <row r="724" spans="1:1" x14ac:dyDescent="0.25">
      <c r="A724" s="2">
        <f t="shared" si="11"/>
        <v>723</v>
      </c>
    </row>
    <row r="725" spans="1:1" x14ac:dyDescent="0.25">
      <c r="A725" s="2">
        <f t="shared" si="11"/>
        <v>724</v>
      </c>
    </row>
    <row r="726" spans="1:1" x14ac:dyDescent="0.25">
      <c r="A726" s="2">
        <f t="shared" si="11"/>
        <v>725</v>
      </c>
    </row>
    <row r="727" spans="1:1" x14ac:dyDescent="0.25">
      <c r="A727" s="2">
        <f t="shared" si="11"/>
        <v>726</v>
      </c>
    </row>
    <row r="728" spans="1:1" x14ac:dyDescent="0.25">
      <c r="A728" s="2">
        <f t="shared" si="11"/>
        <v>727</v>
      </c>
    </row>
    <row r="729" spans="1:1" x14ac:dyDescent="0.25">
      <c r="A729" s="2">
        <f t="shared" si="11"/>
        <v>728</v>
      </c>
    </row>
    <row r="730" spans="1:1" x14ac:dyDescent="0.25">
      <c r="A730" s="2">
        <f t="shared" si="11"/>
        <v>729</v>
      </c>
    </row>
    <row r="731" spans="1:1" x14ac:dyDescent="0.25">
      <c r="A731" s="2">
        <f t="shared" si="11"/>
        <v>730</v>
      </c>
    </row>
    <row r="732" spans="1:1" x14ac:dyDescent="0.25">
      <c r="A732" s="2">
        <f t="shared" si="11"/>
        <v>731</v>
      </c>
    </row>
    <row r="733" spans="1:1" x14ac:dyDescent="0.25">
      <c r="A733" s="2">
        <f t="shared" si="11"/>
        <v>732</v>
      </c>
    </row>
    <row r="734" spans="1:1" x14ac:dyDescent="0.25">
      <c r="A734" s="2">
        <f t="shared" si="11"/>
        <v>733</v>
      </c>
    </row>
    <row r="735" spans="1:1" x14ac:dyDescent="0.25">
      <c r="A735" s="2">
        <f t="shared" si="11"/>
        <v>734</v>
      </c>
    </row>
    <row r="736" spans="1:1" x14ac:dyDescent="0.25">
      <c r="A736" s="2">
        <f t="shared" si="11"/>
        <v>735</v>
      </c>
    </row>
    <row r="737" spans="1:1" x14ac:dyDescent="0.25">
      <c r="A737" s="2">
        <f t="shared" si="11"/>
        <v>736</v>
      </c>
    </row>
    <row r="738" spans="1:1" x14ac:dyDescent="0.25">
      <c r="A738" s="2">
        <f t="shared" si="11"/>
        <v>737</v>
      </c>
    </row>
    <row r="739" spans="1:1" x14ac:dyDescent="0.25">
      <c r="A739" s="2">
        <f t="shared" si="11"/>
        <v>738</v>
      </c>
    </row>
    <row r="740" spans="1:1" x14ac:dyDescent="0.25">
      <c r="A740" s="2">
        <f t="shared" si="11"/>
        <v>739</v>
      </c>
    </row>
    <row r="741" spans="1:1" x14ac:dyDescent="0.25">
      <c r="A741" s="2">
        <f t="shared" si="11"/>
        <v>740</v>
      </c>
    </row>
    <row r="742" spans="1:1" x14ac:dyDescent="0.25">
      <c r="A742" s="2">
        <f t="shared" si="11"/>
        <v>741</v>
      </c>
    </row>
    <row r="743" spans="1:1" x14ac:dyDescent="0.25">
      <c r="A743" s="2">
        <f t="shared" si="11"/>
        <v>742</v>
      </c>
    </row>
    <row r="744" spans="1:1" x14ac:dyDescent="0.25">
      <c r="A744" s="2">
        <f t="shared" si="11"/>
        <v>743</v>
      </c>
    </row>
    <row r="745" spans="1:1" x14ac:dyDescent="0.25">
      <c r="A745" s="2">
        <f t="shared" si="11"/>
        <v>744</v>
      </c>
    </row>
    <row r="746" spans="1:1" x14ac:dyDescent="0.25">
      <c r="A746" s="2">
        <f t="shared" si="11"/>
        <v>745</v>
      </c>
    </row>
    <row r="747" spans="1:1" x14ac:dyDescent="0.25">
      <c r="A747" s="2">
        <f t="shared" si="11"/>
        <v>746</v>
      </c>
    </row>
    <row r="748" spans="1:1" x14ac:dyDescent="0.25">
      <c r="A748" s="2">
        <f t="shared" si="11"/>
        <v>747</v>
      </c>
    </row>
    <row r="749" spans="1:1" x14ac:dyDescent="0.25">
      <c r="A749" s="2">
        <f t="shared" si="11"/>
        <v>748</v>
      </c>
    </row>
    <row r="750" spans="1:1" x14ac:dyDescent="0.25">
      <c r="A750" s="2">
        <f t="shared" si="11"/>
        <v>749</v>
      </c>
    </row>
    <row r="751" spans="1:1" x14ac:dyDescent="0.25">
      <c r="A751" s="2">
        <f t="shared" si="11"/>
        <v>750</v>
      </c>
    </row>
    <row r="752" spans="1:1" x14ac:dyDescent="0.25">
      <c r="A752" s="2">
        <f t="shared" si="11"/>
        <v>751</v>
      </c>
    </row>
    <row r="753" spans="1:1" x14ac:dyDescent="0.25">
      <c r="A753" s="2">
        <f t="shared" si="11"/>
        <v>752</v>
      </c>
    </row>
    <row r="754" spans="1:1" x14ac:dyDescent="0.25">
      <c r="A754" s="2">
        <f t="shared" si="11"/>
        <v>753</v>
      </c>
    </row>
    <row r="755" spans="1:1" x14ac:dyDescent="0.25">
      <c r="A755" s="2">
        <f t="shared" si="11"/>
        <v>754</v>
      </c>
    </row>
    <row r="756" spans="1:1" x14ac:dyDescent="0.25">
      <c r="A756" s="2">
        <f t="shared" si="11"/>
        <v>755</v>
      </c>
    </row>
    <row r="757" spans="1:1" x14ac:dyDescent="0.25">
      <c r="A757" s="2">
        <f t="shared" si="11"/>
        <v>756</v>
      </c>
    </row>
    <row r="758" spans="1:1" x14ac:dyDescent="0.25">
      <c r="A758" s="2">
        <f t="shared" si="11"/>
        <v>757</v>
      </c>
    </row>
    <row r="759" spans="1:1" x14ac:dyDescent="0.25">
      <c r="A759" s="2">
        <f t="shared" si="11"/>
        <v>758</v>
      </c>
    </row>
    <row r="760" spans="1:1" x14ac:dyDescent="0.25">
      <c r="A760" s="2">
        <f t="shared" si="11"/>
        <v>759</v>
      </c>
    </row>
    <row r="761" spans="1:1" x14ac:dyDescent="0.25">
      <c r="A761" s="2">
        <f t="shared" si="11"/>
        <v>760</v>
      </c>
    </row>
    <row r="762" spans="1:1" x14ac:dyDescent="0.25">
      <c r="A762" s="2">
        <f t="shared" si="11"/>
        <v>761</v>
      </c>
    </row>
    <row r="763" spans="1:1" x14ac:dyDescent="0.25">
      <c r="A763" s="2">
        <f t="shared" si="11"/>
        <v>762</v>
      </c>
    </row>
    <row r="764" spans="1:1" x14ac:dyDescent="0.25">
      <c r="A764" s="2">
        <f t="shared" si="11"/>
        <v>763</v>
      </c>
    </row>
    <row r="765" spans="1:1" x14ac:dyDescent="0.25">
      <c r="A765" s="2">
        <f t="shared" si="11"/>
        <v>764</v>
      </c>
    </row>
    <row r="766" spans="1:1" x14ac:dyDescent="0.25">
      <c r="A766" s="2">
        <f t="shared" si="11"/>
        <v>765</v>
      </c>
    </row>
    <row r="767" spans="1:1" x14ac:dyDescent="0.25">
      <c r="A767" s="2">
        <f t="shared" si="11"/>
        <v>766</v>
      </c>
    </row>
    <row r="768" spans="1:1" x14ac:dyDescent="0.25">
      <c r="A768" s="2">
        <f t="shared" si="11"/>
        <v>767</v>
      </c>
    </row>
    <row r="769" spans="1:1" x14ac:dyDescent="0.25">
      <c r="A769" s="2">
        <f t="shared" si="11"/>
        <v>768</v>
      </c>
    </row>
    <row r="770" spans="1:1" x14ac:dyDescent="0.25">
      <c r="A770" s="2">
        <f t="shared" si="11"/>
        <v>769</v>
      </c>
    </row>
    <row r="771" spans="1:1" x14ac:dyDescent="0.25">
      <c r="A771" s="2">
        <f t="shared" ref="A771:A834" si="12">A770+1</f>
        <v>770</v>
      </c>
    </row>
    <row r="772" spans="1:1" x14ac:dyDescent="0.25">
      <c r="A772" s="2">
        <f t="shared" si="12"/>
        <v>771</v>
      </c>
    </row>
    <row r="773" spans="1:1" x14ac:dyDescent="0.25">
      <c r="A773" s="2">
        <f t="shared" si="12"/>
        <v>772</v>
      </c>
    </row>
    <row r="774" spans="1:1" x14ac:dyDescent="0.25">
      <c r="A774" s="2">
        <f t="shared" si="12"/>
        <v>773</v>
      </c>
    </row>
    <row r="775" spans="1:1" x14ac:dyDescent="0.25">
      <c r="A775" s="2">
        <f t="shared" si="12"/>
        <v>774</v>
      </c>
    </row>
    <row r="776" spans="1:1" x14ac:dyDescent="0.25">
      <c r="A776" s="2">
        <f t="shared" si="12"/>
        <v>775</v>
      </c>
    </row>
    <row r="777" spans="1:1" x14ac:dyDescent="0.25">
      <c r="A777" s="2">
        <f t="shared" si="12"/>
        <v>776</v>
      </c>
    </row>
    <row r="778" spans="1:1" x14ac:dyDescent="0.25">
      <c r="A778" s="2">
        <f t="shared" si="12"/>
        <v>777</v>
      </c>
    </row>
    <row r="779" spans="1:1" x14ac:dyDescent="0.25">
      <c r="A779" s="2">
        <f t="shared" si="12"/>
        <v>778</v>
      </c>
    </row>
    <row r="780" spans="1:1" x14ac:dyDescent="0.25">
      <c r="A780" s="2">
        <f t="shared" si="12"/>
        <v>779</v>
      </c>
    </row>
    <row r="781" spans="1:1" x14ac:dyDescent="0.25">
      <c r="A781" s="2">
        <f t="shared" si="12"/>
        <v>780</v>
      </c>
    </row>
    <row r="782" spans="1:1" x14ac:dyDescent="0.25">
      <c r="A782" s="2">
        <f t="shared" si="12"/>
        <v>781</v>
      </c>
    </row>
    <row r="783" spans="1:1" x14ac:dyDescent="0.25">
      <c r="A783" s="2">
        <f t="shared" si="12"/>
        <v>782</v>
      </c>
    </row>
    <row r="784" spans="1:1" x14ac:dyDescent="0.25">
      <c r="A784" s="2">
        <f t="shared" si="12"/>
        <v>783</v>
      </c>
    </row>
    <row r="785" spans="1:1" x14ac:dyDescent="0.25">
      <c r="A785" s="2">
        <f t="shared" si="12"/>
        <v>784</v>
      </c>
    </row>
    <row r="786" spans="1:1" x14ac:dyDescent="0.25">
      <c r="A786" s="2">
        <f t="shared" si="12"/>
        <v>785</v>
      </c>
    </row>
    <row r="787" spans="1:1" x14ac:dyDescent="0.25">
      <c r="A787" s="2">
        <f t="shared" si="12"/>
        <v>786</v>
      </c>
    </row>
    <row r="788" spans="1:1" x14ac:dyDescent="0.25">
      <c r="A788" s="2">
        <f t="shared" si="12"/>
        <v>787</v>
      </c>
    </row>
    <row r="789" spans="1:1" x14ac:dyDescent="0.25">
      <c r="A789" s="2">
        <f t="shared" si="12"/>
        <v>788</v>
      </c>
    </row>
    <row r="790" spans="1:1" x14ac:dyDescent="0.25">
      <c r="A790" s="2">
        <f t="shared" si="12"/>
        <v>789</v>
      </c>
    </row>
    <row r="791" spans="1:1" x14ac:dyDescent="0.25">
      <c r="A791" s="2">
        <f t="shared" si="12"/>
        <v>790</v>
      </c>
    </row>
    <row r="792" spans="1:1" x14ac:dyDescent="0.25">
      <c r="A792" s="2">
        <f t="shared" si="12"/>
        <v>791</v>
      </c>
    </row>
    <row r="793" spans="1:1" x14ac:dyDescent="0.25">
      <c r="A793" s="2">
        <f t="shared" si="12"/>
        <v>792</v>
      </c>
    </row>
    <row r="794" spans="1:1" x14ac:dyDescent="0.25">
      <c r="A794" s="2">
        <f t="shared" si="12"/>
        <v>793</v>
      </c>
    </row>
    <row r="795" spans="1:1" x14ac:dyDescent="0.25">
      <c r="A795" s="2">
        <f t="shared" si="12"/>
        <v>794</v>
      </c>
    </row>
    <row r="796" spans="1:1" x14ac:dyDescent="0.25">
      <c r="A796" s="2">
        <f t="shared" si="12"/>
        <v>795</v>
      </c>
    </row>
    <row r="797" spans="1:1" x14ac:dyDescent="0.25">
      <c r="A797" s="2">
        <f t="shared" si="12"/>
        <v>796</v>
      </c>
    </row>
    <row r="798" spans="1:1" x14ac:dyDescent="0.25">
      <c r="A798" s="2">
        <f t="shared" si="12"/>
        <v>797</v>
      </c>
    </row>
    <row r="799" spans="1:1" x14ac:dyDescent="0.25">
      <c r="A799" s="2">
        <f t="shared" si="12"/>
        <v>798</v>
      </c>
    </row>
    <row r="800" spans="1:1" x14ac:dyDescent="0.25">
      <c r="A800" s="2">
        <f t="shared" si="12"/>
        <v>799</v>
      </c>
    </row>
    <row r="801" spans="1:1" x14ac:dyDescent="0.25">
      <c r="A801" s="2">
        <f t="shared" si="12"/>
        <v>800</v>
      </c>
    </row>
    <row r="802" spans="1:1" x14ac:dyDescent="0.25">
      <c r="A802" s="2">
        <f t="shared" si="12"/>
        <v>801</v>
      </c>
    </row>
    <row r="803" spans="1:1" x14ac:dyDescent="0.25">
      <c r="A803" s="2">
        <f t="shared" si="12"/>
        <v>802</v>
      </c>
    </row>
    <row r="804" spans="1:1" x14ac:dyDescent="0.25">
      <c r="A804" s="2">
        <f t="shared" si="12"/>
        <v>803</v>
      </c>
    </row>
    <row r="805" spans="1:1" x14ac:dyDescent="0.25">
      <c r="A805" s="2">
        <f t="shared" si="12"/>
        <v>804</v>
      </c>
    </row>
    <row r="806" spans="1:1" x14ac:dyDescent="0.25">
      <c r="A806" s="2">
        <f t="shared" si="12"/>
        <v>805</v>
      </c>
    </row>
    <row r="807" spans="1:1" x14ac:dyDescent="0.25">
      <c r="A807" s="2">
        <f t="shared" si="12"/>
        <v>806</v>
      </c>
    </row>
    <row r="808" spans="1:1" x14ac:dyDescent="0.25">
      <c r="A808" s="2">
        <f t="shared" si="12"/>
        <v>807</v>
      </c>
    </row>
    <row r="809" spans="1:1" x14ac:dyDescent="0.25">
      <c r="A809" s="2">
        <f t="shared" si="12"/>
        <v>808</v>
      </c>
    </row>
    <row r="810" spans="1:1" x14ac:dyDescent="0.25">
      <c r="A810" s="2">
        <f t="shared" si="12"/>
        <v>809</v>
      </c>
    </row>
    <row r="811" spans="1:1" x14ac:dyDescent="0.25">
      <c r="A811" s="2">
        <f t="shared" si="12"/>
        <v>810</v>
      </c>
    </row>
    <row r="812" spans="1:1" x14ac:dyDescent="0.25">
      <c r="A812" s="2">
        <f t="shared" si="12"/>
        <v>811</v>
      </c>
    </row>
    <row r="813" spans="1:1" x14ac:dyDescent="0.25">
      <c r="A813" s="2">
        <f t="shared" si="12"/>
        <v>812</v>
      </c>
    </row>
    <row r="814" spans="1:1" x14ac:dyDescent="0.25">
      <c r="A814" s="2">
        <f t="shared" si="12"/>
        <v>813</v>
      </c>
    </row>
    <row r="815" spans="1:1" x14ac:dyDescent="0.25">
      <c r="A815" s="2">
        <f t="shared" si="12"/>
        <v>814</v>
      </c>
    </row>
    <row r="816" spans="1:1" x14ac:dyDescent="0.25">
      <c r="A816" s="2">
        <f t="shared" si="12"/>
        <v>815</v>
      </c>
    </row>
    <row r="817" spans="1:1" x14ac:dyDescent="0.25">
      <c r="A817" s="2">
        <f t="shared" si="12"/>
        <v>816</v>
      </c>
    </row>
    <row r="818" spans="1:1" x14ac:dyDescent="0.25">
      <c r="A818" s="2">
        <f t="shared" si="12"/>
        <v>817</v>
      </c>
    </row>
    <row r="819" spans="1:1" x14ac:dyDescent="0.25">
      <c r="A819" s="2">
        <f t="shared" si="12"/>
        <v>818</v>
      </c>
    </row>
    <row r="820" spans="1:1" x14ac:dyDescent="0.25">
      <c r="A820" s="2">
        <f t="shared" si="12"/>
        <v>819</v>
      </c>
    </row>
    <row r="821" spans="1:1" x14ac:dyDescent="0.25">
      <c r="A821" s="2">
        <f t="shared" si="12"/>
        <v>820</v>
      </c>
    </row>
    <row r="822" spans="1:1" x14ac:dyDescent="0.25">
      <c r="A822" s="2">
        <f t="shared" si="12"/>
        <v>821</v>
      </c>
    </row>
    <row r="823" spans="1:1" x14ac:dyDescent="0.25">
      <c r="A823" s="2">
        <f t="shared" si="12"/>
        <v>822</v>
      </c>
    </row>
    <row r="824" spans="1:1" x14ac:dyDescent="0.25">
      <c r="A824" s="2">
        <f t="shared" si="12"/>
        <v>823</v>
      </c>
    </row>
    <row r="825" spans="1:1" x14ac:dyDescent="0.25">
      <c r="A825" s="2">
        <f t="shared" si="12"/>
        <v>824</v>
      </c>
    </row>
    <row r="826" spans="1:1" x14ac:dyDescent="0.25">
      <c r="A826" s="2">
        <f t="shared" si="12"/>
        <v>825</v>
      </c>
    </row>
    <row r="827" spans="1:1" x14ac:dyDescent="0.25">
      <c r="A827" s="2">
        <f t="shared" si="12"/>
        <v>826</v>
      </c>
    </row>
    <row r="828" spans="1:1" x14ac:dyDescent="0.25">
      <c r="A828" s="2">
        <f t="shared" si="12"/>
        <v>827</v>
      </c>
    </row>
    <row r="829" spans="1:1" x14ac:dyDescent="0.25">
      <c r="A829" s="2">
        <f t="shared" si="12"/>
        <v>828</v>
      </c>
    </row>
    <row r="830" spans="1:1" x14ac:dyDescent="0.25">
      <c r="A830" s="2">
        <f t="shared" si="12"/>
        <v>829</v>
      </c>
    </row>
    <row r="831" spans="1:1" x14ac:dyDescent="0.25">
      <c r="A831" s="2">
        <f t="shared" si="12"/>
        <v>830</v>
      </c>
    </row>
    <row r="832" spans="1:1" x14ac:dyDescent="0.25">
      <c r="A832" s="2">
        <f t="shared" si="12"/>
        <v>831</v>
      </c>
    </row>
    <row r="833" spans="1:1" x14ac:dyDescent="0.25">
      <c r="A833" s="2">
        <f t="shared" si="12"/>
        <v>832</v>
      </c>
    </row>
    <row r="834" spans="1:1" x14ac:dyDescent="0.25">
      <c r="A834" s="2">
        <f t="shared" si="12"/>
        <v>833</v>
      </c>
    </row>
    <row r="835" spans="1:1" x14ac:dyDescent="0.25">
      <c r="A835" s="2">
        <f t="shared" ref="A835:A898" si="13">A834+1</f>
        <v>834</v>
      </c>
    </row>
    <row r="836" spans="1:1" x14ac:dyDescent="0.25">
      <c r="A836" s="2">
        <f t="shared" si="13"/>
        <v>835</v>
      </c>
    </row>
    <row r="837" spans="1:1" x14ac:dyDescent="0.25">
      <c r="A837" s="2">
        <f t="shared" si="13"/>
        <v>836</v>
      </c>
    </row>
    <row r="838" spans="1:1" x14ac:dyDescent="0.25">
      <c r="A838" s="2">
        <f t="shared" si="13"/>
        <v>837</v>
      </c>
    </row>
    <row r="839" spans="1:1" x14ac:dyDescent="0.25">
      <c r="A839" s="2">
        <f t="shared" si="13"/>
        <v>838</v>
      </c>
    </row>
    <row r="840" spans="1:1" x14ac:dyDescent="0.25">
      <c r="A840" s="2">
        <f t="shared" si="13"/>
        <v>839</v>
      </c>
    </row>
    <row r="841" spans="1:1" x14ac:dyDescent="0.25">
      <c r="A841" s="2">
        <f t="shared" si="13"/>
        <v>840</v>
      </c>
    </row>
    <row r="842" spans="1:1" x14ac:dyDescent="0.25">
      <c r="A842" s="2">
        <f t="shared" si="13"/>
        <v>841</v>
      </c>
    </row>
    <row r="843" spans="1:1" x14ac:dyDescent="0.25">
      <c r="A843" s="2">
        <f t="shared" si="13"/>
        <v>842</v>
      </c>
    </row>
    <row r="844" spans="1:1" x14ac:dyDescent="0.25">
      <c r="A844" s="2">
        <f t="shared" si="13"/>
        <v>843</v>
      </c>
    </row>
    <row r="845" spans="1:1" x14ac:dyDescent="0.25">
      <c r="A845" s="2">
        <f t="shared" si="13"/>
        <v>844</v>
      </c>
    </row>
    <row r="846" spans="1:1" x14ac:dyDescent="0.25">
      <c r="A846" s="2">
        <f t="shared" si="13"/>
        <v>845</v>
      </c>
    </row>
    <row r="847" spans="1:1" x14ac:dyDescent="0.25">
      <c r="A847" s="2">
        <f t="shared" si="13"/>
        <v>846</v>
      </c>
    </row>
    <row r="848" spans="1:1" x14ac:dyDescent="0.25">
      <c r="A848" s="2">
        <f t="shared" si="13"/>
        <v>847</v>
      </c>
    </row>
    <row r="849" spans="1:1" x14ac:dyDescent="0.25">
      <c r="A849" s="2">
        <f t="shared" si="13"/>
        <v>848</v>
      </c>
    </row>
    <row r="850" spans="1:1" x14ac:dyDescent="0.25">
      <c r="A850" s="2">
        <f t="shared" si="13"/>
        <v>849</v>
      </c>
    </row>
    <row r="851" spans="1:1" x14ac:dyDescent="0.25">
      <c r="A851" s="2">
        <f t="shared" si="13"/>
        <v>850</v>
      </c>
    </row>
    <row r="852" spans="1:1" x14ac:dyDescent="0.25">
      <c r="A852" s="2">
        <f t="shared" si="13"/>
        <v>851</v>
      </c>
    </row>
    <row r="853" spans="1:1" x14ac:dyDescent="0.25">
      <c r="A853" s="2">
        <f t="shared" si="13"/>
        <v>852</v>
      </c>
    </row>
    <row r="854" spans="1:1" x14ac:dyDescent="0.25">
      <c r="A854" s="2">
        <f t="shared" si="13"/>
        <v>853</v>
      </c>
    </row>
    <row r="855" spans="1:1" x14ac:dyDescent="0.25">
      <c r="A855" s="2">
        <f t="shared" si="13"/>
        <v>854</v>
      </c>
    </row>
    <row r="856" spans="1:1" x14ac:dyDescent="0.25">
      <c r="A856" s="2">
        <f t="shared" si="13"/>
        <v>855</v>
      </c>
    </row>
    <row r="857" spans="1:1" x14ac:dyDescent="0.25">
      <c r="A857" s="2">
        <f t="shared" si="13"/>
        <v>856</v>
      </c>
    </row>
    <row r="858" spans="1:1" x14ac:dyDescent="0.25">
      <c r="A858" s="2">
        <f t="shared" si="13"/>
        <v>857</v>
      </c>
    </row>
    <row r="859" spans="1:1" x14ac:dyDescent="0.25">
      <c r="A859" s="2">
        <f t="shared" si="13"/>
        <v>858</v>
      </c>
    </row>
    <row r="860" spans="1:1" x14ac:dyDescent="0.25">
      <c r="A860" s="2">
        <f t="shared" si="13"/>
        <v>859</v>
      </c>
    </row>
    <row r="861" spans="1:1" x14ac:dyDescent="0.25">
      <c r="A861" s="2">
        <f t="shared" si="13"/>
        <v>860</v>
      </c>
    </row>
    <row r="862" spans="1:1" x14ac:dyDescent="0.25">
      <c r="A862" s="2">
        <f t="shared" si="13"/>
        <v>861</v>
      </c>
    </row>
    <row r="863" spans="1:1" x14ac:dyDescent="0.25">
      <c r="A863" s="2">
        <f t="shared" si="13"/>
        <v>862</v>
      </c>
    </row>
    <row r="864" spans="1:1" x14ac:dyDescent="0.25">
      <c r="A864" s="2">
        <f t="shared" si="13"/>
        <v>863</v>
      </c>
    </row>
    <row r="865" spans="1:1" x14ac:dyDescent="0.25">
      <c r="A865" s="2">
        <f t="shared" si="13"/>
        <v>864</v>
      </c>
    </row>
    <row r="866" spans="1:1" x14ac:dyDescent="0.25">
      <c r="A866" s="2">
        <f t="shared" si="13"/>
        <v>865</v>
      </c>
    </row>
    <row r="867" spans="1:1" x14ac:dyDescent="0.25">
      <c r="A867" s="2">
        <f t="shared" si="13"/>
        <v>866</v>
      </c>
    </row>
    <row r="868" spans="1:1" x14ac:dyDescent="0.25">
      <c r="A868" s="2">
        <f t="shared" si="13"/>
        <v>867</v>
      </c>
    </row>
    <row r="869" spans="1:1" x14ac:dyDescent="0.25">
      <c r="A869" s="2">
        <f t="shared" si="13"/>
        <v>868</v>
      </c>
    </row>
    <row r="870" spans="1:1" x14ac:dyDescent="0.25">
      <c r="A870" s="2">
        <f t="shared" si="13"/>
        <v>869</v>
      </c>
    </row>
    <row r="871" spans="1:1" x14ac:dyDescent="0.25">
      <c r="A871" s="2">
        <f t="shared" si="13"/>
        <v>870</v>
      </c>
    </row>
    <row r="872" spans="1:1" x14ac:dyDescent="0.25">
      <c r="A872" s="2">
        <f t="shared" si="13"/>
        <v>871</v>
      </c>
    </row>
    <row r="873" spans="1:1" x14ac:dyDescent="0.25">
      <c r="A873" s="2">
        <f t="shared" si="13"/>
        <v>872</v>
      </c>
    </row>
    <row r="874" spans="1:1" x14ac:dyDescent="0.25">
      <c r="A874" s="2">
        <f t="shared" si="13"/>
        <v>873</v>
      </c>
    </row>
    <row r="875" spans="1:1" x14ac:dyDescent="0.25">
      <c r="A875" s="2">
        <f t="shared" si="13"/>
        <v>874</v>
      </c>
    </row>
    <row r="876" spans="1:1" x14ac:dyDescent="0.25">
      <c r="A876" s="2">
        <f t="shared" si="13"/>
        <v>875</v>
      </c>
    </row>
    <row r="877" spans="1:1" x14ac:dyDescent="0.25">
      <c r="A877" s="2">
        <f t="shared" si="13"/>
        <v>876</v>
      </c>
    </row>
    <row r="878" spans="1:1" x14ac:dyDescent="0.25">
      <c r="A878" s="2">
        <f t="shared" si="13"/>
        <v>877</v>
      </c>
    </row>
    <row r="879" spans="1:1" x14ac:dyDescent="0.25">
      <c r="A879" s="2">
        <f t="shared" si="13"/>
        <v>878</v>
      </c>
    </row>
    <row r="880" spans="1:1" x14ac:dyDescent="0.25">
      <c r="A880" s="2">
        <f t="shared" si="13"/>
        <v>879</v>
      </c>
    </row>
    <row r="881" spans="1:1" x14ac:dyDescent="0.25">
      <c r="A881" s="2">
        <f t="shared" si="13"/>
        <v>880</v>
      </c>
    </row>
    <row r="882" spans="1:1" x14ac:dyDescent="0.25">
      <c r="A882" s="2">
        <f t="shared" si="13"/>
        <v>881</v>
      </c>
    </row>
    <row r="883" spans="1:1" x14ac:dyDescent="0.25">
      <c r="A883" s="2">
        <f t="shared" si="13"/>
        <v>882</v>
      </c>
    </row>
    <row r="884" spans="1:1" x14ac:dyDescent="0.25">
      <c r="A884" s="2">
        <f t="shared" si="13"/>
        <v>883</v>
      </c>
    </row>
    <row r="885" spans="1:1" x14ac:dyDescent="0.25">
      <c r="A885" s="2">
        <f t="shared" si="13"/>
        <v>884</v>
      </c>
    </row>
    <row r="886" spans="1:1" x14ac:dyDescent="0.25">
      <c r="A886" s="2">
        <f t="shared" si="13"/>
        <v>885</v>
      </c>
    </row>
    <row r="887" spans="1:1" x14ac:dyDescent="0.25">
      <c r="A887" s="2">
        <f t="shared" si="13"/>
        <v>886</v>
      </c>
    </row>
    <row r="888" spans="1:1" x14ac:dyDescent="0.25">
      <c r="A888" s="2">
        <f t="shared" si="13"/>
        <v>887</v>
      </c>
    </row>
    <row r="889" spans="1:1" x14ac:dyDescent="0.25">
      <c r="A889" s="2">
        <f t="shared" si="13"/>
        <v>888</v>
      </c>
    </row>
    <row r="890" spans="1:1" x14ac:dyDescent="0.25">
      <c r="A890" s="2">
        <f t="shared" si="13"/>
        <v>889</v>
      </c>
    </row>
    <row r="891" spans="1:1" x14ac:dyDescent="0.25">
      <c r="A891" s="2">
        <f t="shared" si="13"/>
        <v>890</v>
      </c>
    </row>
    <row r="892" spans="1:1" x14ac:dyDescent="0.25">
      <c r="A892" s="2">
        <f t="shared" si="13"/>
        <v>891</v>
      </c>
    </row>
    <row r="893" spans="1:1" x14ac:dyDescent="0.25">
      <c r="A893" s="2">
        <f t="shared" si="13"/>
        <v>892</v>
      </c>
    </row>
    <row r="894" spans="1:1" x14ac:dyDescent="0.25">
      <c r="A894" s="2">
        <f t="shared" si="13"/>
        <v>893</v>
      </c>
    </row>
    <row r="895" spans="1:1" x14ac:dyDescent="0.25">
      <c r="A895" s="2">
        <f t="shared" si="13"/>
        <v>894</v>
      </c>
    </row>
    <row r="896" spans="1:1" x14ac:dyDescent="0.25">
      <c r="A896" s="2">
        <f t="shared" si="13"/>
        <v>895</v>
      </c>
    </row>
    <row r="897" spans="1:1" x14ac:dyDescent="0.25">
      <c r="A897" s="2">
        <f t="shared" si="13"/>
        <v>896</v>
      </c>
    </row>
    <row r="898" spans="1:1" x14ac:dyDescent="0.25">
      <c r="A898" s="2">
        <f t="shared" si="13"/>
        <v>897</v>
      </c>
    </row>
    <row r="899" spans="1:1" x14ac:dyDescent="0.25">
      <c r="A899" s="2">
        <f t="shared" ref="A899:A962" si="14">A898+1</f>
        <v>898</v>
      </c>
    </row>
    <row r="900" spans="1:1" x14ac:dyDescent="0.25">
      <c r="A900" s="2">
        <f t="shared" si="14"/>
        <v>899</v>
      </c>
    </row>
    <row r="901" spans="1:1" x14ac:dyDescent="0.25">
      <c r="A901" s="2">
        <f t="shared" si="14"/>
        <v>900</v>
      </c>
    </row>
    <row r="902" spans="1:1" x14ac:dyDescent="0.25">
      <c r="A902" s="2">
        <f t="shared" si="14"/>
        <v>901</v>
      </c>
    </row>
    <row r="903" spans="1:1" x14ac:dyDescent="0.25">
      <c r="A903" s="2">
        <f t="shared" si="14"/>
        <v>902</v>
      </c>
    </row>
    <row r="904" spans="1:1" x14ac:dyDescent="0.25">
      <c r="A904" s="2">
        <f t="shared" si="14"/>
        <v>903</v>
      </c>
    </row>
    <row r="905" spans="1:1" x14ac:dyDescent="0.25">
      <c r="A905" s="2">
        <f t="shared" si="14"/>
        <v>904</v>
      </c>
    </row>
    <row r="906" spans="1:1" x14ac:dyDescent="0.25">
      <c r="A906" s="2">
        <f t="shared" si="14"/>
        <v>905</v>
      </c>
    </row>
    <row r="907" spans="1:1" x14ac:dyDescent="0.25">
      <c r="A907" s="2">
        <f t="shared" si="14"/>
        <v>906</v>
      </c>
    </row>
    <row r="908" spans="1:1" x14ac:dyDescent="0.25">
      <c r="A908" s="2">
        <f t="shared" si="14"/>
        <v>907</v>
      </c>
    </row>
    <row r="909" spans="1:1" x14ac:dyDescent="0.25">
      <c r="A909" s="2">
        <f t="shared" si="14"/>
        <v>908</v>
      </c>
    </row>
    <row r="910" spans="1:1" x14ac:dyDescent="0.25">
      <c r="A910" s="2">
        <f t="shared" si="14"/>
        <v>909</v>
      </c>
    </row>
    <row r="911" spans="1:1" x14ac:dyDescent="0.25">
      <c r="A911" s="2">
        <f t="shared" si="14"/>
        <v>910</v>
      </c>
    </row>
    <row r="912" spans="1:1" x14ac:dyDescent="0.25">
      <c r="A912" s="2">
        <f t="shared" si="14"/>
        <v>911</v>
      </c>
    </row>
    <row r="913" spans="1:1" x14ac:dyDescent="0.25">
      <c r="A913" s="2">
        <f t="shared" si="14"/>
        <v>912</v>
      </c>
    </row>
    <row r="914" spans="1:1" x14ac:dyDescent="0.25">
      <c r="A914" s="2">
        <f t="shared" si="14"/>
        <v>913</v>
      </c>
    </row>
    <row r="915" spans="1:1" x14ac:dyDescent="0.25">
      <c r="A915" s="2">
        <f t="shared" si="14"/>
        <v>914</v>
      </c>
    </row>
    <row r="916" spans="1:1" x14ac:dyDescent="0.25">
      <c r="A916" s="2">
        <f t="shared" si="14"/>
        <v>915</v>
      </c>
    </row>
    <row r="917" spans="1:1" x14ac:dyDescent="0.25">
      <c r="A917" s="2">
        <f t="shared" si="14"/>
        <v>916</v>
      </c>
    </row>
    <row r="918" spans="1:1" x14ac:dyDescent="0.25">
      <c r="A918" s="2">
        <f t="shared" si="14"/>
        <v>917</v>
      </c>
    </row>
    <row r="919" spans="1:1" x14ac:dyDescent="0.25">
      <c r="A919" s="2">
        <f t="shared" si="14"/>
        <v>918</v>
      </c>
    </row>
    <row r="920" spans="1:1" x14ac:dyDescent="0.25">
      <c r="A920" s="2">
        <f t="shared" si="14"/>
        <v>919</v>
      </c>
    </row>
    <row r="921" spans="1:1" x14ac:dyDescent="0.25">
      <c r="A921" s="2">
        <f t="shared" si="14"/>
        <v>920</v>
      </c>
    </row>
    <row r="922" spans="1:1" x14ac:dyDescent="0.25">
      <c r="A922" s="2">
        <f t="shared" si="14"/>
        <v>921</v>
      </c>
    </row>
    <row r="923" spans="1:1" x14ac:dyDescent="0.25">
      <c r="A923" s="2">
        <f t="shared" si="14"/>
        <v>922</v>
      </c>
    </row>
    <row r="924" spans="1:1" x14ac:dyDescent="0.25">
      <c r="A924" s="2">
        <f t="shared" si="14"/>
        <v>923</v>
      </c>
    </row>
    <row r="925" spans="1:1" x14ac:dyDescent="0.25">
      <c r="A925" s="2">
        <f t="shared" si="14"/>
        <v>924</v>
      </c>
    </row>
    <row r="926" spans="1:1" x14ac:dyDescent="0.25">
      <c r="A926" s="2">
        <f t="shared" si="14"/>
        <v>925</v>
      </c>
    </row>
    <row r="927" spans="1:1" x14ac:dyDescent="0.25">
      <c r="A927" s="2">
        <f t="shared" si="14"/>
        <v>926</v>
      </c>
    </row>
    <row r="928" spans="1:1" x14ac:dyDescent="0.25">
      <c r="A928" s="2">
        <f t="shared" si="14"/>
        <v>927</v>
      </c>
    </row>
    <row r="929" spans="1:1" x14ac:dyDescent="0.25">
      <c r="A929" s="2">
        <f t="shared" si="14"/>
        <v>928</v>
      </c>
    </row>
    <row r="930" spans="1:1" x14ac:dyDescent="0.25">
      <c r="A930" s="2">
        <f t="shared" si="14"/>
        <v>929</v>
      </c>
    </row>
    <row r="931" spans="1:1" x14ac:dyDescent="0.25">
      <c r="A931" s="2">
        <f t="shared" si="14"/>
        <v>930</v>
      </c>
    </row>
    <row r="932" spans="1:1" x14ac:dyDescent="0.25">
      <c r="A932" s="2">
        <f t="shared" si="14"/>
        <v>931</v>
      </c>
    </row>
    <row r="933" spans="1:1" x14ac:dyDescent="0.25">
      <c r="A933" s="2">
        <f t="shared" si="14"/>
        <v>932</v>
      </c>
    </row>
    <row r="934" spans="1:1" x14ac:dyDescent="0.25">
      <c r="A934" s="2">
        <f t="shared" si="14"/>
        <v>933</v>
      </c>
    </row>
    <row r="935" spans="1:1" x14ac:dyDescent="0.25">
      <c r="A935" s="2">
        <f t="shared" si="14"/>
        <v>934</v>
      </c>
    </row>
    <row r="936" spans="1:1" x14ac:dyDescent="0.25">
      <c r="A936" s="2">
        <f t="shared" si="14"/>
        <v>935</v>
      </c>
    </row>
    <row r="937" spans="1:1" x14ac:dyDescent="0.25">
      <c r="A937" s="2">
        <f t="shared" si="14"/>
        <v>936</v>
      </c>
    </row>
    <row r="938" spans="1:1" x14ac:dyDescent="0.25">
      <c r="A938" s="2">
        <f t="shared" si="14"/>
        <v>937</v>
      </c>
    </row>
    <row r="939" spans="1:1" x14ac:dyDescent="0.25">
      <c r="A939" s="2">
        <f t="shared" si="14"/>
        <v>938</v>
      </c>
    </row>
    <row r="940" spans="1:1" x14ac:dyDescent="0.25">
      <c r="A940" s="2">
        <f t="shared" si="14"/>
        <v>939</v>
      </c>
    </row>
    <row r="941" spans="1:1" x14ac:dyDescent="0.25">
      <c r="A941" s="2">
        <f t="shared" si="14"/>
        <v>940</v>
      </c>
    </row>
    <row r="942" spans="1:1" x14ac:dyDescent="0.25">
      <c r="A942" s="2">
        <f t="shared" si="14"/>
        <v>941</v>
      </c>
    </row>
    <row r="943" spans="1:1" x14ac:dyDescent="0.25">
      <c r="A943" s="2">
        <f t="shared" si="14"/>
        <v>942</v>
      </c>
    </row>
    <row r="944" spans="1:1" x14ac:dyDescent="0.25">
      <c r="A944" s="2">
        <f t="shared" si="14"/>
        <v>943</v>
      </c>
    </row>
    <row r="945" spans="1:1" x14ac:dyDescent="0.25">
      <c r="A945" s="2">
        <f t="shared" si="14"/>
        <v>944</v>
      </c>
    </row>
    <row r="946" spans="1:1" x14ac:dyDescent="0.25">
      <c r="A946" s="2">
        <f t="shared" si="14"/>
        <v>945</v>
      </c>
    </row>
    <row r="947" spans="1:1" x14ac:dyDescent="0.25">
      <c r="A947" s="2">
        <f t="shared" si="14"/>
        <v>946</v>
      </c>
    </row>
    <row r="948" spans="1:1" x14ac:dyDescent="0.25">
      <c r="A948" s="2">
        <f t="shared" si="14"/>
        <v>947</v>
      </c>
    </row>
    <row r="949" spans="1:1" x14ac:dyDescent="0.25">
      <c r="A949" s="2">
        <f t="shared" si="14"/>
        <v>948</v>
      </c>
    </row>
    <row r="950" spans="1:1" x14ac:dyDescent="0.25">
      <c r="A950" s="2">
        <f t="shared" si="14"/>
        <v>949</v>
      </c>
    </row>
    <row r="951" spans="1:1" x14ac:dyDescent="0.25">
      <c r="A951" s="2">
        <f t="shared" si="14"/>
        <v>950</v>
      </c>
    </row>
    <row r="952" spans="1:1" x14ac:dyDescent="0.25">
      <c r="A952" s="2">
        <f t="shared" si="14"/>
        <v>951</v>
      </c>
    </row>
    <row r="953" spans="1:1" x14ac:dyDescent="0.25">
      <c r="A953" s="2">
        <f t="shared" si="14"/>
        <v>952</v>
      </c>
    </row>
    <row r="954" spans="1:1" x14ac:dyDescent="0.25">
      <c r="A954" s="2">
        <f t="shared" si="14"/>
        <v>953</v>
      </c>
    </row>
    <row r="955" spans="1:1" x14ac:dyDescent="0.25">
      <c r="A955" s="2">
        <f t="shared" si="14"/>
        <v>954</v>
      </c>
    </row>
    <row r="956" spans="1:1" x14ac:dyDescent="0.25">
      <c r="A956" s="2">
        <f t="shared" si="14"/>
        <v>955</v>
      </c>
    </row>
    <row r="957" spans="1:1" x14ac:dyDescent="0.25">
      <c r="A957" s="2">
        <f t="shared" si="14"/>
        <v>956</v>
      </c>
    </row>
    <row r="958" spans="1:1" x14ac:dyDescent="0.25">
      <c r="A958" s="2">
        <f t="shared" si="14"/>
        <v>957</v>
      </c>
    </row>
    <row r="959" spans="1:1" x14ac:dyDescent="0.25">
      <c r="A959" s="2">
        <f t="shared" si="14"/>
        <v>958</v>
      </c>
    </row>
    <row r="960" spans="1:1" x14ac:dyDescent="0.25">
      <c r="A960" s="2">
        <f t="shared" si="14"/>
        <v>959</v>
      </c>
    </row>
    <row r="961" spans="1:1" x14ac:dyDescent="0.25">
      <c r="A961" s="2">
        <f t="shared" si="14"/>
        <v>960</v>
      </c>
    </row>
    <row r="962" spans="1:1" x14ac:dyDescent="0.25">
      <c r="A962" s="2">
        <f t="shared" si="14"/>
        <v>961</v>
      </c>
    </row>
    <row r="963" spans="1:1" x14ac:dyDescent="0.25">
      <c r="A963" s="2">
        <f t="shared" ref="A963:A1001" si="15">A962+1</f>
        <v>962</v>
      </c>
    </row>
    <row r="964" spans="1:1" x14ac:dyDescent="0.25">
      <c r="A964" s="2">
        <f t="shared" si="15"/>
        <v>963</v>
      </c>
    </row>
    <row r="965" spans="1:1" x14ac:dyDescent="0.25">
      <c r="A965" s="2">
        <f t="shared" si="15"/>
        <v>964</v>
      </c>
    </row>
    <row r="966" spans="1:1" x14ac:dyDescent="0.25">
      <c r="A966" s="2">
        <f t="shared" si="15"/>
        <v>965</v>
      </c>
    </row>
    <row r="967" spans="1:1" x14ac:dyDescent="0.25">
      <c r="A967" s="2">
        <f t="shared" si="15"/>
        <v>966</v>
      </c>
    </row>
    <row r="968" spans="1:1" x14ac:dyDescent="0.25">
      <c r="A968" s="2">
        <f t="shared" si="15"/>
        <v>967</v>
      </c>
    </row>
    <row r="969" spans="1:1" x14ac:dyDescent="0.25">
      <c r="A969" s="2">
        <f t="shared" si="15"/>
        <v>968</v>
      </c>
    </row>
    <row r="970" spans="1:1" x14ac:dyDescent="0.25">
      <c r="A970" s="2">
        <f t="shared" si="15"/>
        <v>969</v>
      </c>
    </row>
    <row r="971" spans="1:1" x14ac:dyDescent="0.25">
      <c r="A971" s="2">
        <f t="shared" si="15"/>
        <v>970</v>
      </c>
    </row>
    <row r="972" spans="1:1" x14ac:dyDescent="0.25">
      <c r="A972" s="2">
        <f t="shared" si="15"/>
        <v>971</v>
      </c>
    </row>
    <row r="973" spans="1:1" x14ac:dyDescent="0.25">
      <c r="A973" s="2">
        <f t="shared" si="15"/>
        <v>972</v>
      </c>
    </row>
    <row r="974" spans="1:1" x14ac:dyDescent="0.25">
      <c r="A974" s="2">
        <f t="shared" si="15"/>
        <v>973</v>
      </c>
    </row>
    <row r="975" spans="1:1" x14ac:dyDescent="0.25">
      <c r="A975" s="2">
        <f t="shared" si="15"/>
        <v>974</v>
      </c>
    </row>
    <row r="976" spans="1:1" x14ac:dyDescent="0.25">
      <c r="A976" s="2">
        <f t="shared" si="15"/>
        <v>975</v>
      </c>
    </row>
    <row r="977" spans="1:1" x14ac:dyDescent="0.25">
      <c r="A977" s="2">
        <f t="shared" si="15"/>
        <v>976</v>
      </c>
    </row>
    <row r="978" spans="1:1" x14ac:dyDescent="0.25">
      <c r="A978" s="2">
        <f t="shared" si="15"/>
        <v>977</v>
      </c>
    </row>
    <row r="979" spans="1:1" x14ac:dyDescent="0.25">
      <c r="A979" s="2">
        <f t="shared" si="15"/>
        <v>978</v>
      </c>
    </row>
    <row r="980" spans="1:1" x14ac:dyDescent="0.25">
      <c r="A980" s="2">
        <f t="shared" si="15"/>
        <v>979</v>
      </c>
    </row>
    <row r="981" spans="1:1" x14ac:dyDescent="0.25">
      <c r="A981" s="2">
        <f t="shared" si="15"/>
        <v>980</v>
      </c>
    </row>
    <row r="982" spans="1:1" x14ac:dyDescent="0.25">
      <c r="A982" s="2">
        <f t="shared" si="15"/>
        <v>981</v>
      </c>
    </row>
    <row r="983" spans="1:1" x14ac:dyDescent="0.25">
      <c r="A983" s="2">
        <f t="shared" si="15"/>
        <v>982</v>
      </c>
    </row>
    <row r="984" spans="1:1" x14ac:dyDescent="0.25">
      <c r="A984" s="2">
        <f t="shared" si="15"/>
        <v>983</v>
      </c>
    </row>
    <row r="985" spans="1:1" x14ac:dyDescent="0.25">
      <c r="A985" s="2">
        <f t="shared" si="15"/>
        <v>984</v>
      </c>
    </row>
    <row r="986" spans="1:1" x14ac:dyDescent="0.25">
      <c r="A986" s="2">
        <f t="shared" si="15"/>
        <v>985</v>
      </c>
    </row>
    <row r="987" spans="1:1" x14ac:dyDescent="0.25">
      <c r="A987" s="2">
        <f t="shared" si="15"/>
        <v>986</v>
      </c>
    </row>
    <row r="988" spans="1:1" x14ac:dyDescent="0.25">
      <c r="A988" s="2">
        <f t="shared" si="15"/>
        <v>987</v>
      </c>
    </row>
    <row r="989" spans="1:1" x14ac:dyDescent="0.25">
      <c r="A989" s="2">
        <f t="shared" si="15"/>
        <v>988</v>
      </c>
    </row>
    <row r="990" spans="1:1" x14ac:dyDescent="0.25">
      <c r="A990" s="2">
        <f t="shared" si="15"/>
        <v>989</v>
      </c>
    </row>
    <row r="991" spans="1:1" x14ac:dyDescent="0.25">
      <c r="A991" s="2">
        <f t="shared" si="15"/>
        <v>990</v>
      </c>
    </row>
    <row r="992" spans="1:1" x14ac:dyDescent="0.25">
      <c r="A992" s="2">
        <f t="shared" si="15"/>
        <v>991</v>
      </c>
    </row>
    <row r="993" spans="1:1" x14ac:dyDescent="0.25">
      <c r="A993" s="2">
        <f t="shared" si="15"/>
        <v>992</v>
      </c>
    </row>
    <row r="994" spans="1:1" x14ac:dyDescent="0.25">
      <c r="A994" s="2">
        <f t="shared" si="15"/>
        <v>993</v>
      </c>
    </row>
    <row r="995" spans="1:1" x14ac:dyDescent="0.25">
      <c r="A995" s="2">
        <f t="shared" si="15"/>
        <v>994</v>
      </c>
    </row>
    <row r="996" spans="1:1" x14ac:dyDescent="0.25">
      <c r="A996" s="2">
        <f t="shared" si="15"/>
        <v>995</v>
      </c>
    </row>
    <row r="997" spans="1:1" x14ac:dyDescent="0.25">
      <c r="A997" s="2">
        <f t="shared" si="15"/>
        <v>996</v>
      </c>
    </row>
    <row r="998" spans="1:1" x14ac:dyDescent="0.25">
      <c r="A998" s="2">
        <f t="shared" si="15"/>
        <v>997</v>
      </c>
    </row>
    <row r="999" spans="1:1" x14ac:dyDescent="0.25">
      <c r="A999" s="2">
        <f t="shared" si="15"/>
        <v>998</v>
      </c>
    </row>
    <row r="1000" spans="1:1" x14ac:dyDescent="0.25">
      <c r="A1000" s="2">
        <f t="shared" si="15"/>
        <v>999</v>
      </c>
    </row>
    <row r="1001" spans="1:1" x14ac:dyDescent="0.25">
      <c r="A1001" s="2">
        <f t="shared" si="15"/>
        <v>1000</v>
      </c>
    </row>
  </sheetData>
  <sheetProtection sheet="1" objects="1" scenarios="1" formatCells="0" formatColumns="0" formatRows="0" sort="0" autoFilter="0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32"/>
  <sheetViews>
    <sheetView topLeftCell="D1" workbookViewId="0">
      <pane ySplit="32" topLeftCell="A123" activePane="bottomLeft" state="frozen"/>
      <selection activeCell="D1" sqref="D1"/>
      <selection pane="bottomLeft" activeCell="H123" sqref="H123"/>
    </sheetView>
  </sheetViews>
  <sheetFormatPr baseColWidth="10" defaultRowHeight="11.25" x14ac:dyDescent="0.25"/>
  <cols>
    <col min="1" max="3" width="0" style="3" hidden="1" customWidth="1"/>
    <col min="4" max="4" width="5.7109375" style="3" customWidth="1"/>
    <col min="5" max="5" width="6.7109375" style="3" customWidth="1"/>
    <col min="6" max="6" width="45.7109375" style="3" customWidth="1"/>
    <col min="7" max="11" width="7.7109375" style="3" customWidth="1"/>
    <col min="12" max="20" width="0" style="3" hidden="1" customWidth="1"/>
    <col min="21" max="16384" width="11.42578125" style="3"/>
  </cols>
  <sheetData>
    <row r="1" spans="1:10" ht="12" customHeight="1" x14ac:dyDescent="0.25">
      <c r="A1" s="3">
        <v>1</v>
      </c>
      <c r="B1" s="3" t="str">
        <f>Codestufen!B2</f>
        <v xml:space="preserve">love </v>
      </c>
      <c r="C1" s="3">
        <f>COUNTIF(V_W_Q6_Zuord,A1)</f>
        <v>31</v>
      </c>
      <c r="D1" s="5" t="s">
        <v>22</v>
      </c>
      <c r="E1" s="6"/>
      <c r="F1" s="7"/>
      <c r="G1" s="6"/>
      <c r="H1" s="8"/>
      <c r="I1" s="6"/>
      <c r="J1" s="6"/>
    </row>
    <row r="2" spans="1:10" ht="3" customHeight="1" x14ac:dyDescent="0.25">
      <c r="A2" s="9">
        <v>2</v>
      </c>
      <c r="B2" s="3" t="str">
        <f>Codestufen!B3</f>
        <v xml:space="preserve">joy </v>
      </c>
      <c r="C2" s="3">
        <f t="shared" ref="C2:C65" si="0">COUNTIF(V_W_Q6_Zuord,A2)</f>
        <v>41</v>
      </c>
      <c r="D2" s="6"/>
      <c r="E2" s="6"/>
      <c r="F2" s="7"/>
      <c r="G2" s="6"/>
      <c r="H2" s="6"/>
      <c r="I2" s="6"/>
      <c r="J2" s="6"/>
    </row>
    <row r="3" spans="1:10" x14ac:dyDescent="0.25">
      <c r="A3" s="3">
        <v>3</v>
      </c>
      <c r="B3" s="3" t="str">
        <f>Codestufen!B4</f>
        <v>happiness</v>
      </c>
      <c r="C3" s="3">
        <f t="shared" si="0"/>
        <v>28</v>
      </c>
      <c r="D3" s="10">
        <v>4</v>
      </c>
      <c r="E3" s="11" t="s">
        <v>0</v>
      </c>
      <c r="F3" s="11" t="s">
        <v>1</v>
      </c>
      <c r="G3" s="12" t="s">
        <v>2</v>
      </c>
      <c r="H3" s="13" t="s">
        <v>3</v>
      </c>
      <c r="I3" s="13"/>
      <c r="J3" s="14"/>
    </row>
    <row r="4" spans="1:10" ht="8.25" customHeight="1" x14ac:dyDescent="0.25">
      <c r="A4" s="3">
        <v>4</v>
      </c>
      <c r="B4" s="3">
        <f>Codestufen!B5</f>
        <v>0</v>
      </c>
      <c r="C4" s="3">
        <f t="shared" si="0"/>
        <v>0</v>
      </c>
      <c r="D4" s="15"/>
      <c r="E4" s="15"/>
      <c r="F4" s="15" t="str">
        <f>"Zuordnungen &lt; "&amp;E5</f>
        <v>Zuordnungen &lt; 1</v>
      </c>
      <c r="G4" s="15">
        <f>COUNTIF(V_W_Q6_Zuord,"&lt;"&amp;E5)</f>
        <v>0</v>
      </c>
      <c r="H4" s="14">
        <f>COUNTA(V_W_Q6_Datensaetze)/H5</f>
        <v>100</v>
      </c>
      <c r="I4" s="14" t="s">
        <v>4</v>
      </c>
      <c r="J4" s="14"/>
    </row>
    <row r="5" spans="1:10" ht="8.25" customHeight="1" x14ac:dyDescent="0.25">
      <c r="A5" s="3">
        <v>5</v>
      </c>
      <c r="B5" s="3">
        <f>Codestufen!B6</f>
        <v>0</v>
      </c>
      <c r="C5" s="3">
        <f t="shared" si="0"/>
        <v>0</v>
      </c>
      <c r="D5" s="16" t="s">
        <v>5</v>
      </c>
      <c r="E5" s="16">
        <f>(4-D3)*20+1</f>
        <v>1</v>
      </c>
      <c r="F5" s="17" t="str">
        <f>HYPERLINK("#Codestufen!"&amp;ADDRESS(E5+1,D$6),IF(INDEX(V_W_Q6_CodestufenName,E5)=0,"",INDEX(V_W_Q6_CodestufenName,E5)))</f>
        <v xml:space="preserve">love </v>
      </c>
      <c r="G5" s="16">
        <f>INDEX(V_W_Q6_Codestufen,E5)</f>
        <v>31</v>
      </c>
      <c r="H5" s="14">
        <v>1</v>
      </c>
      <c r="I5" s="14" t="s">
        <v>6</v>
      </c>
      <c r="J5" s="14"/>
    </row>
    <row r="6" spans="1:10" ht="8.25" customHeight="1" x14ac:dyDescent="0.25">
      <c r="A6" s="3">
        <v>6</v>
      </c>
      <c r="B6" s="3">
        <f>Codestufen!B7</f>
        <v>0</v>
      </c>
      <c r="C6" s="3">
        <f t="shared" si="0"/>
        <v>0</v>
      </c>
      <c r="D6" s="16">
        <v>2</v>
      </c>
      <c r="E6" s="16">
        <f>E5+1</f>
        <v>2</v>
      </c>
      <c r="F6" s="17" t="str">
        <f>HYPERLINK("#Codestufen!"&amp;ADDRESS(E6+1,D$6),IF(INDEX(V_W_Q6_CodestufenName,E6)=0,"",INDEX(V_W_Q6_CodestufenName,E6)))</f>
        <v xml:space="preserve">joy </v>
      </c>
      <c r="G6" s="16">
        <f>INDEX(V_W_Q6_Codestufen,E6)</f>
        <v>41</v>
      </c>
      <c r="H6" s="14">
        <f>SUM(V_W_Q6_Verbatims)</f>
        <v>100</v>
      </c>
      <c r="I6" s="14" t="s">
        <v>7</v>
      </c>
      <c r="J6" s="14"/>
    </row>
    <row r="7" spans="1:10" ht="8.25" customHeight="1" x14ac:dyDescent="0.25">
      <c r="A7" s="3">
        <v>7</v>
      </c>
      <c r="B7" s="3">
        <f>Codestufen!B8</f>
        <v>0</v>
      </c>
      <c r="C7" s="3">
        <f t="shared" si="0"/>
        <v>0</v>
      </c>
      <c r="D7" s="16" t="s">
        <v>4</v>
      </c>
      <c r="E7" s="16">
        <f t="shared" ref="E7:E24" si="1">E6+1</f>
        <v>3</v>
      </c>
      <c r="F7" s="17" t="str">
        <f>HYPERLINK("#Codestufen!"&amp;ADDRESS(E7+1,D$6),IF(INDEX(V_W_Q6_CodestufenName,E7)=0,"",INDEX(V_W_Q6_CodestufenName,E7)))</f>
        <v>happiness</v>
      </c>
      <c r="G7" s="16">
        <f>INDEX(V_W_Q6_Codestufen,E7)</f>
        <v>28</v>
      </c>
      <c r="H7" s="14">
        <f>COUNTIF(V_W_Q6_AnzZuord,"&gt;0")</f>
        <v>100</v>
      </c>
      <c r="I7" s="14" t="s">
        <v>8</v>
      </c>
      <c r="J7" s="14"/>
    </row>
    <row r="8" spans="1:10" ht="8.25" customHeight="1" x14ac:dyDescent="0.25">
      <c r="A8" s="3">
        <v>8</v>
      </c>
      <c r="B8" s="3">
        <f>Codestufen!B9</f>
        <v>0</v>
      </c>
      <c r="C8" s="3">
        <f t="shared" si="0"/>
        <v>0</v>
      </c>
      <c r="D8" s="16" t="str">
        <f>"D33:D"&amp;D24</f>
        <v>D33:D132</v>
      </c>
      <c r="E8" s="16">
        <f t="shared" si="1"/>
        <v>4</v>
      </c>
      <c r="F8" s="17" t="str">
        <f>HYPERLINK("#Codestufen!"&amp;ADDRESS(E8+1,D$6),IF(INDEX(V_W_Q6_CodestufenName,E8)=0,"",INDEX(V_W_Q6_CodestufenName,E8)))</f>
        <v/>
      </c>
      <c r="G8" s="16">
        <f>INDEX(V_W_Q6_Codestufen,E8)</f>
        <v>0</v>
      </c>
      <c r="H8" s="14">
        <f>SUM(V_W_Q6_AnzZuord)</f>
        <v>100</v>
      </c>
      <c r="I8" s="14" t="s">
        <v>9</v>
      </c>
      <c r="J8" s="14"/>
    </row>
    <row r="9" spans="1:10" ht="8.25" customHeight="1" x14ac:dyDescent="0.25">
      <c r="A9" s="3">
        <v>9</v>
      </c>
      <c r="B9" s="3">
        <f>Codestufen!B10</f>
        <v>0</v>
      </c>
      <c r="C9" s="3">
        <f t="shared" si="0"/>
        <v>0</v>
      </c>
      <c r="D9" s="16" t="s">
        <v>7</v>
      </c>
      <c r="E9" s="16">
        <f t="shared" si="1"/>
        <v>5</v>
      </c>
      <c r="F9" s="17" t="str">
        <f>HYPERLINK("#Codestufen!"&amp;ADDRESS(E9+1,D$6),IF(INDEX(V_W_Q6_CodestufenName,E9)=0,"",INDEX(V_W_Q6_CodestufenName,E9)))</f>
        <v/>
      </c>
      <c r="G9" s="16">
        <f>INDEX(V_W_Q6_Codestufen,E9)</f>
        <v>0</v>
      </c>
      <c r="H9" s="14"/>
      <c r="I9" s="14"/>
      <c r="J9" s="14"/>
    </row>
    <row r="10" spans="1:10" ht="8.25" customHeight="1" x14ac:dyDescent="0.25">
      <c r="A10" s="3">
        <v>10</v>
      </c>
      <c r="B10" s="3">
        <f>Codestufen!B11</f>
        <v>0</v>
      </c>
      <c r="C10" s="3">
        <f t="shared" si="0"/>
        <v>0</v>
      </c>
      <c r="D10" s="16" t="str">
        <f>"H33:H"&amp;D24</f>
        <v>H33:H132</v>
      </c>
      <c r="E10" s="16">
        <f t="shared" si="1"/>
        <v>6</v>
      </c>
      <c r="F10" s="17" t="str">
        <f>HYPERLINK("#Codestufen!"&amp;ADDRESS(E10+1,D$6),IF(INDEX(V_W_Q6_CodestufenName,E10)=0,"",INDEX(V_W_Q6_CodestufenName,E10)))</f>
        <v/>
      </c>
      <c r="G10" s="16">
        <f>INDEX(V_W_Q6_Codestufen,E10)</f>
        <v>0</v>
      </c>
      <c r="H10" s="13" t="s">
        <v>10</v>
      </c>
      <c r="I10" s="14"/>
      <c r="J10" s="14"/>
    </row>
    <row r="11" spans="1:10" ht="8.25" customHeight="1" x14ac:dyDescent="0.25">
      <c r="A11" s="3">
        <v>11</v>
      </c>
      <c r="B11" s="3">
        <f>Codestufen!B12</f>
        <v>0</v>
      </c>
      <c r="C11" s="3">
        <f t="shared" si="0"/>
        <v>0</v>
      </c>
      <c r="D11" s="16" t="s">
        <v>8</v>
      </c>
      <c r="E11" s="16">
        <f t="shared" si="1"/>
        <v>7</v>
      </c>
      <c r="F11" s="17" t="str">
        <f>HYPERLINK("#Codestufen!"&amp;ADDRESS(E11+1,D$6),IF(INDEX(V_W_Q6_CodestufenName,E11)=0,"",INDEX(V_W_Q6_CodestufenName,E11)))</f>
        <v/>
      </c>
      <c r="G11" s="16">
        <f>INDEX(V_W_Q6_Codestufen,E11)</f>
        <v>0</v>
      </c>
      <c r="H11" s="18" t="str">
        <f>H6-H7&amp;" Verbatims sind noch zuzuordnen"</f>
        <v>0 Verbatims sind noch zuzuordnen</v>
      </c>
      <c r="I11" s="18"/>
      <c r="J11" s="18"/>
    </row>
    <row r="12" spans="1:10" ht="8.25" customHeight="1" x14ac:dyDescent="0.25">
      <c r="A12" s="3">
        <v>12</v>
      </c>
      <c r="B12" s="3">
        <f>Codestufen!B13</f>
        <v>0</v>
      </c>
      <c r="C12" s="3">
        <f t="shared" si="0"/>
        <v>0</v>
      </c>
      <c r="D12" s="16" t="str">
        <f>"G33:G"&amp;D24</f>
        <v>G33:G132</v>
      </c>
      <c r="E12" s="16">
        <f t="shared" si="1"/>
        <v>8</v>
      </c>
      <c r="F12" s="17" t="str">
        <f>HYPERLINK("#Codestufen!"&amp;ADDRESS(E12+1,D$6),IF(INDEX(V_W_Q6_CodestufenName,E12)=0,"",INDEX(V_W_Q6_CodestufenName,E12)))</f>
        <v/>
      </c>
      <c r="G12" s="16">
        <f>INDEX(V_W_Q6_Codestufen,E12)</f>
        <v>0</v>
      </c>
      <c r="H12" s="18"/>
      <c r="I12" s="18"/>
      <c r="J12" s="18"/>
    </row>
    <row r="13" spans="1:10" ht="8.25" customHeight="1" x14ac:dyDescent="0.25">
      <c r="A13" s="3">
        <v>13</v>
      </c>
      <c r="B13" s="3">
        <f>Codestufen!B14</f>
        <v>0</v>
      </c>
      <c r="C13" s="3">
        <f t="shared" si="0"/>
        <v>0</v>
      </c>
      <c r="D13" s="16" t="s">
        <v>11</v>
      </c>
      <c r="E13" s="16">
        <f t="shared" si="1"/>
        <v>9</v>
      </c>
      <c r="F13" s="17" t="str">
        <f>HYPERLINK("#Codestufen!"&amp;ADDRESS(E13+1,D$6),IF(INDEX(V_W_Q6_CodestufenName,E13)=0,"",INDEX(V_W_Q6_CodestufenName,E13)))</f>
        <v/>
      </c>
      <c r="G13" s="16">
        <f>INDEX(V_W_Q6_Codestufen,E13)</f>
        <v>0</v>
      </c>
      <c r="H13" s="18"/>
      <c r="I13" s="18"/>
      <c r="J13" s="18"/>
    </row>
    <row r="14" spans="1:10" ht="8.25" customHeight="1" x14ac:dyDescent="0.25">
      <c r="A14" s="3">
        <v>14</v>
      </c>
      <c r="B14" s="3">
        <f>Codestufen!B15</f>
        <v>0</v>
      </c>
      <c r="C14" s="3">
        <f t="shared" si="0"/>
        <v>0</v>
      </c>
      <c r="D14" s="16" t="str">
        <f>"I33:I"&amp;D24</f>
        <v>I33:I132</v>
      </c>
      <c r="E14" s="16">
        <f t="shared" si="1"/>
        <v>10</v>
      </c>
      <c r="F14" s="17" t="str">
        <f>HYPERLINK("#Codestufen!"&amp;ADDRESS(E14+1,D$6),IF(INDEX(V_W_Q6_CodestufenName,E14)=0,"",INDEX(V_W_Q6_CodestufenName,E14)))</f>
        <v/>
      </c>
      <c r="G14" s="16">
        <f>INDEX(V_W_Q6_Codestufen,E14)</f>
        <v>0</v>
      </c>
      <c r="H14" s="18"/>
      <c r="I14" s="18"/>
      <c r="J14" s="18"/>
    </row>
    <row r="15" spans="1:10" ht="8.25" customHeight="1" x14ac:dyDescent="0.25">
      <c r="A15" s="3">
        <v>15</v>
      </c>
      <c r="B15" s="3">
        <f>Codestufen!B16</f>
        <v>0</v>
      </c>
      <c r="C15" s="3">
        <f t="shared" si="0"/>
        <v>0</v>
      </c>
      <c r="D15" s="16" t="s">
        <v>12</v>
      </c>
      <c r="E15" s="16">
        <f t="shared" si="1"/>
        <v>11</v>
      </c>
      <c r="F15" s="17" t="str">
        <f>HYPERLINK("#Codestufen!"&amp;ADDRESS(E15+1,D$6),IF(INDEX(V_W_Q6_CodestufenName,E15)=0,"",INDEX(V_W_Q6_CodestufenName,E15)))</f>
        <v/>
      </c>
      <c r="G15" s="16">
        <f>INDEX(V_W_Q6_Codestufen,E15)</f>
        <v>0</v>
      </c>
    </row>
    <row r="16" spans="1:10" ht="8.25" customHeight="1" x14ac:dyDescent="0.25">
      <c r="A16" s="3">
        <v>16</v>
      </c>
      <c r="B16" s="3">
        <f>Codestufen!B17</f>
        <v>0</v>
      </c>
      <c r="C16" s="3">
        <f t="shared" si="0"/>
        <v>0</v>
      </c>
      <c r="D16" s="16" t="str">
        <f>"J33:J"&amp;D24</f>
        <v>J33:J132</v>
      </c>
      <c r="E16" s="16">
        <f t="shared" si="1"/>
        <v>12</v>
      </c>
      <c r="F16" s="17" t="str">
        <f>HYPERLINK("#Codestufen!"&amp;ADDRESS(E16+1,D$6),IF(INDEX(V_W_Q6_CodestufenName,E16)=0,"",INDEX(V_W_Q6_CodestufenName,E16)))</f>
        <v/>
      </c>
      <c r="G16" s="16">
        <f>INDEX(V_W_Q6_Codestufen,E16)</f>
        <v>0</v>
      </c>
      <c r="H16" s="13"/>
      <c r="I16" s="19"/>
      <c r="J16" s="19"/>
    </row>
    <row r="17" spans="1:20" ht="8.25" customHeight="1" x14ac:dyDescent="0.25">
      <c r="A17" s="3">
        <v>17</v>
      </c>
      <c r="B17" s="3">
        <f>Codestufen!B18</f>
        <v>0</v>
      </c>
      <c r="C17" s="3">
        <f t="shared" si="0"/>
        <v>0</v>
      </c>
      <c r="D17" s="16" t="s">
        <v>13</v>
      </c>
      <c r="E17" s="16">
        <f t="shared" si="1"/>
        <v>13</v>
      </c>
      <c r="F17" s="17" t="str">
        <f>HYPERLINK("#Codestufen!"&amp;ADDRESS(E17+1,D$6),IF(INDEX(V_W_Q6_CodestufenName,E17)=0,"",INDEX(V_W_Q6_CodestufenName,E17)))</f>
        <v/>
      </c>
      <c r="G17" s="16">
        <f>INDEX(V_W_Q6_Codestufen,E17)</f>
        <v>0</v>
      </c>
      <c r="H17" s="20" t="str">
        <f>IF(SUM(V_W_Q6_Codestufen)&lt;&gt;SUMIF(V_W_Q6_CodestufenName,"&lt;&gt;0",V_W_Q6_Codestufen),"Es gibt Nennungen, die keinem Code zugeordnet werden können.","")&amp;IF(SUM(V_W_Q6_AnzZuordOVerb)&gt;0,"Es gibt Zuordnungen bei nicht vorhandenen Verbatims.","")</f>
        <v/>
      </c>
      <c r="I17" s="20"/>
      <c r="J17" s="20"/>
    </row>
    <row r="18" spans="1:20" ht="8.25" customHeight="1" x14ac:dyDescent="0.25">
      <c r="A18" s="3">
        <v>18</v>
      </c>
      <c r="B18" s="3">
        <f>Codestufen!B19</f>
        <v>0</v>
      </c>
      <c r="C18" s="3">
        <f t="shared" si="0"/>
        <v>0</v>
      </c>
      <c r="D18" s="16" t="str">
        <f>"K33:K"&amp;D24</f>
        <v>K33:K132</v>
      </c>
      <c r="E18" s="16">
        <f t="shared" si="1"/>
        <v>14</v>
      </c>
      <c r="F18" s="17" t="str">
        <f>HYPERLINK("#Codestufen!"&amp;ADDRESS(E18+1,D$6),IF(INDEX(V_W_Q6_CodestufenName,E18)=0,"",INDEX(V_W_Q6_CodestufenName,E18)))</f>
        <v/>
      </c>
      <c r="G18" s="16">
        <f>INDEX(V_W_Q6_Codestufen,E18)</f>
        <v>0</v>
      </c>
      <c r="H18" s="20"/>
      <c r="I18" s="20"/>
      <c r="J18" s="20"/>
    </row>
    <row r="19" spans="1:20" ht="8.25" customHeight="1" x14ac:dyDescent="0.25">
      <c r="A19" s="3">
        <v>19</v>
      </c>
      <c r="B19" s="3">
        <f>Codestufen!B20</f>
        <v>0</v>
      </c>
      <c r="C19" s="3">
        <f t="shared" si="0"/>
        <v>0</v>
      </c>
      <c r="D19" s="16" t="s">
        <v>14</v>
      </c>
      <c r="E19" s="16">
        <f t="shared" si="1"/>
        <v>15</v>
      </c>
      <c r="F19" s="17" t="str">
        <f>HYPERLINK("#Codestufen!"&amp;ADDRESS(E19+1,D$6),IF(INDEX(V_W_Q6_CodestufenName,E19)=0,"",INDEX(V_W_Q6_CodestufenName,E19)))</f>
        <v/>
      </c>
      <c r="G19" s="16">
        <f>INDEX(V_W_Q6_Codestufen,E19)</f>
        <v>0</v>
      </c>
      <c r="H19" s="20"/>
      <c r="I19" s="20"/>
      <c r="J19" s="20"/>
    </row>
    <row r="20" spans="1:20" ht="8.25" customHeight="1" x14ac:dyDescent="0.25">
      <c r="A20" s="3">
        <v>20</v>
      </c>
      <c r="B20" s="3">
        <f>Codestufen!B21</f>
        <v>0</v>
      </c>
      <c r="C20" s="3">
        <f t="shared" si="0"/>
        <v>0</v>
      </c>
      <c r="D20" s="16" t="s">
        <v>20</v>
      </c>
      <c r="E20" s="16">
        <f t="shared" si="1"/>
        <v>16</v>
      </c>
      <c r="F20" s="17" t="str">
        <f>HYPERLINK("#Codestufen!"&amp;ADDRESS(E20+1,D$6),IF(INDEX(V_W_Q6_CodestufenName,E20)=0,"",INDEX(V_W_Q6_CodestufenName,E20)))</f>
        <v/>
      </c>
      <c r="G20" s="16">
        <f>INDEX(V_W_Q6_Codestufen,E20)</f>
        <v>0</v>
      </c>
      <c r="H20" s="20"/>
      <c r="I20" s="20"/>
      <c r="J20" s="20"/>
    </row>
    <row r="21" spans="1:20" ht="8.25" customHeight="1" x14ac:dyDescent="0.25">
      <c r="A21" s="3">
        <v>21</v>
      </c>
      <c r="B21" s="3">
        <f>Codestufen!B22</f>
        <v>0</v>
      </c>
      <c r="C21" s="3">
        <f t="shared" si="0"/>
        <v>0</v>
      </c>
      <c r="D21" s="16" t="s">
        <v>15</v>
      </c>
      <c r="E21" s="16">
        <f t="shared" si="1"/>
        <v>17</v>
      </c>
      <c r="F21" s="17" t="str">
        <f>HYPERLINK("#Codestufen!"&amp;ADDRESS(E21+1,D$6),IF(INDEX(V_W_Q6_CodestufenName,E21)=0,"",INDEX(V_W_Q6_CodestufenName,E21)))</f>
        <v/>
      </c>
      <c r="G21" s="16">
        <f>INDEX(V_W_Q6_Codestufen,E21)</f>
        <v>0</v>
      </c>
      <c r="H21" s="20"/>
      <c r="I21" s="20"/>
      <c r="J21" s="20"/>
    </row>
    <row r="22" spans="1:20" ht="8.25" customHeight="1" x14ac:dyDescent="0.25">
      <c r="A22" s="3">
        <v>22</v>
      </c>
      <c r="B22" s="3">
        <f>Codestufen!B23</f>
        <v>0</v>
      </c>
      <c r="C22" s="3">
        <f t="shared" si="0"/>
        <v>0</v>
      </c>
      <c r="D22" s="16" t="s">
        <v>21</v>
      </c>
      <c r="E22" s="16">
        <f t="shared" si="1"/>
        <v>18</v>
      </c>
      <c r="F22" s="17" t="str">
        <f>HYPERLINK("#Codestufen!"&amp;ADDRESS(E22+1,D$6),IF(INDEX(V_W_Q6_CodestufenName,E22)=0,"",INDEX(V_W_Q6_CodestufenName,E22)))</f>
        <v/>
      </c>
      <c r="G22" s="16">
        <f>INDEX(V_W_Q6_Codestufen,E22)</f>
        <v>0</v>
      </c>
      <c r="H22" s="20"/>
      <c r="I22" s="20"/>
      <c r="J22" s="20"/>
    </row>
    <row r="23" spans="1:20" ht="8.25" customHeight="1" x14ac:dyDescent="0.25">
      <c r="A23" s="3">
        <v>23</v>
      </c>
      <c r="B23" s="3">
        <f>Codestufen!B24</f>
        <v>0</v>
      </c>
      <c r="C23" s="3">
        <f t="shared" si="0"/>
        <v>0</v>
      </c>
      <c r="D23" s="16" t="s">
        <v>16</v>
      </c>
      <c r="E23" s="16">
        <f t="shared" si="1"/>
        <v>19</v>
      </c>
      <c r="F23" s="17" t="str">
        <f>HYPERLINK("#Codestufen!"&amp;ADDRESS(E23+1,D$6),IF(INDEX(V_W_Q6_CodestufenName,E23)=0,"",INDEX(V_W_Q6_CodestufenName,E23)))</f>
        <v/>
      </c>
      <c r="G23" s="16">
        <f>INDEX(V_W_Q6_Codestufen,E23)</f>
        <v>0</v>
      </c>
      <c r="H23" s="20"/>
      <c r="I23" s="20"/>
      <c r="J23" s="20"/>
    </row>
    <row r="24" spans="1:20" ht="8.25" customHeight="1" x14ac:dyDescent="0.25">
      <c r="A24" s="3">
        <v>24</v>
      </c>
      <c r="B24" s="3">
        <f>Codestufen!B25</f>
        <v>0</v>
      </c>
      <c r="C24" s="3">
        <f t="shared" si="0"/>
        <v>0</v>
      </c>
      <c r="D24" s="16">
        <v>132</v>
      </c>
      <c r="E24" s="16">
        <f t="shared" si="1"/>
        <v>20</v>
      </c>
      <c r="F24" s="17" t="str">
        <f>HYPERLINK("#Codestufen!"&amp;ADDRESS(E24+1,D$6),IF(INDEX(V_W_Q6_CodestufenName,E24)=0,"",INDEX(V_W_Q6_CodestufenName,E24)))</f>
        <v/>
      </c>
      <c r="G24" s="16">
        <f>INDEX(V_W_Q6_Codestufen,E24)</f>
        <v>0</v>
      </c>
      <c r="H24" s="20"/>
      <c r="I24" s="20"/>
      <c r="J24" s="20"/>
    </row>
    <row r="25" spans="1:20" ht="8.25" customHeight="1" x14ac:dyDescent="0.25">
      <c r="A25" s="3">
        <v>25</v>
      </c>
      <c r="B25" s="3">
        <f>Codestufen!B26</f>
        <v>0</v>
      </c>
      <c r="C25" s="3">
        <f t="shared" si="0"/>
        <v>0</v>
      </c>
      <c r="D25" s="15"/>
      <c r="E25" s="15"/>
      <c r="F25" s="15" t="str">
        <f>"Zuordnungen &gt; " &amp;E24&amp; " und &lt; "&amp;E26</f>
        <v>Zuordnungen &gt; 20 und &lt; 97</v>
      </c>
      <c r="G25" s="15">
        <f>COUNTIF(V_W_Q6_Zuord,"&lt;"&amp;E26)-SUM(G4:G24)</f>
        <v>0</v>
      </c>
      <c r="H25" s="20"/>
      <c r="I25" s="20"/>
      <c r="J25" s="20"/>
    </row>
    <row r="26" spans="1:20" ht="8.25" customHeight="1" x14ac:dyDescent="0.25">
      <c r="A26" s="3">
        <v>26</v>
      </c>
      <c r="B26" s="3">
        <f>Codestufen!B27</f>
        <v>0</v>
      </c>
      <c r="C26" s="3">
        <f t="shared" si="0"/>
        <v>0</v>
      </c>
      <c r="D26" s="21" t="s">
        <v>17</v>
      </c>
      <c r="E26" s="16">
        <f>D29</f>
        <v>97</v>
      </c>
      <c r="F26" s="17" t="str">
        <f>HYPERLINK("#Codestufen!"&amp;ADDRESS(E26+1,D$6),IF(INDEX(V_W_Q6_CodestufenName,E26)=0,"",INDEX(V_W_Q6_CodestufenName,E26)))</f>
        <v/>
      </c>
      <c r="G26" s="16">
        <f>INDEX(V_W_Q6_Codestufen,E26)</f>
        <v>0</v>
      </c>
      <c r="H26" s="20"/>
      <c r="I26" s="20"/>
      <c r="J26" s="20"/>
    </row>
    <row r="27" spans="1:20" ht="8.25" customHeight="1" x14ac:dyDescent="0.25">
      <c r="A27" s="3">
        <v>27</v>
      </c>
      <c r="B27" s="3">
        <f>Codestufen!B28</f>
        <v>0</v>
      </c>
      <c r="C27" s="3">
        <f t="shared" si="0"/>
        <v>0</v>
      </c>
      <c r="D27" s="22" t="s">
        <v>18</v>
      </c>
      <c r="E27" s="16">
        <f>E26+1</f>
        <v>98</v>
      </c>
      <c r="F27" s="17" t="str">
        <f>HYPERLINK("#Codestufen!"&amp;ADDRESS(E27+1,D$6),IF(INDEX(V_W_Q6_CodestufenName,E27)=0,"",INDEX(V_W_Q6_CodestufenName,E27)))</f>
        <v/>
      </c>
      <c r="G27" s="16">
        <f>INDEX(V_W_Q6_Codestufen,E27)</f>
        <v>0</v>
      </c>
      <c r="H27" s="20"/>
      <c r="I27" s="20"/>
      <c r="J27" s="20"/>
    </row>
    <row r="28" spans="1:20" ht="8.25" customHeight="1" x14ac:dyDescent="0.25">
      <c r="A28" s="3">
        <v>28</v>
      </c>
      <c r="B28" s="3">
        <f>Codestufen!B29</f>
        <v>0</v>
      </c>
      <c r="C28" s="3">
        <f t="shared" si="0"/>
        <v>0</v>
      </c>
      <c r="D28" s="22" t="s">
        <v>19</v>
      </c>
      <c r="E28" s="16">
        <f>E27+1</f>
        <v>99</v>
      </c>
      <c r="F28" s="17" t="str">
        <f>HYPERLINK("#Codestufen!"&amp;ADDRESS(E28+1,D$6),IF(INDEX(V_W_Q6_CodestufenName,E28)=0,"",INDEX(V_W_Q6_CodestufenName,E28)))</f>
        <v/>
      </c>
      <c r="G28" s="16">
        <f>INDEX(V_W_Q6_Codestufen,E28)</f>
        <v>0</v>
      </c>
      <c r="H28" s="20"/>
      <c r="I28" s="20"/>
      <c r="J28" s="20"/>
    </row>
    <row r="29" spans="1:20" ht="8.25" customHeight="1" x14ac:dyDescent="0.25">
      <c r="A29" s="3">
        <v>29</v>
      </c>
      <c r="B29" s="3">
        <f>Codestufen!B30</f>
        <v>0</v>
      </c>
      <c r="C29" s="3">
        <f t="shared" si="0"/>
        <v>0</v>
      </c>
      <c r="D29" s="23">
        <v>97</v>
      </c>
      <c r="E29" s="16">
        <f>E28+1</f>
        <v>100</v>
      </c>
      <c r="F29" s="17" t="str">
        <f>HYPERLINK("#Codestufen!"&amp;ADDRESS(E29+1,D$6),IF(INDEX(V_W_Q6_CodestufenName,E29)=0,"",INDEX(V_W_Q6_CodestufenName,E29)))</f>
        <v/>
      </c>
      <c r="G29" s="16">
        <f>INDEX(V_W_Q6_Codestufen,E29)</f>
        <v>0</v>
      </c>
      <c r="H29" s="20"/>
      <c r="I29" s="20"/>
      <c r="J29" s="20"/>
    </row>
    <row r="30" spans="1:20" ht="8.25" customHeight="1" x14ac:dyDescent="0.25">
      <c r="A30" s="3">
        <v>30</v>
      </c>
      <c r="B30" s="3">
        <f>Codestufen!B31</f>
        <v>0</v>
      </c>
      <c r="C30" s="3">
        <f t="shared" si="0"/>
        <v>0</v>
      </c>
      <c r="D30" s="15"/>
      <c r="E30" s="15"/>
      <c r="F30" s="15" t="str">
        <f>"Zuordnungen &gt; " &amp;E29</f>
        <v>Zuordnungen &gt; 100</v>
      </c>
      <c r="G30" s="15">
        <f>COUNTIF(V_W_Q6_Zuord,"&gt;"&amp;E29)</f>
        <v>0</v>
      </c>
      <c r="H30" s="20"/>
      <c r="I30" s="20"/>
      <c r="J30" s="20"/>
    </row>
    <row r="31" spans="1:20" ht="8.25" customHeight="1" x14ac:dyDescent="0.25">
      <c r="A31" s="3">
        <v>31</v>
      </c>
      <c r="B31" s="3">
        <f>Codestufen!B32</f>
        <v>0</v>
      </c>
      <c r="C31" s="3">
        <f t="shared" si="0"/>
        <v>0</v>
      </c>
    </row>
    <row r="32" spans="1:20" s="4" customFormat="1" ht="33.75" x14ac:dyDescent="0.25">
      <c r="A32" s="4">
        <v>32</v>
      </c>
      <c r="B32" s="3">
        <f>Codestufen!B33</f>
        <v>0</v>
      </c>
      <c r="C32" s="3">
        <f t="shared" si="0"/>
        <v>0</v>
      </c>
      <c r="D32" s="29" t="s">
        <v>23</v>
      </c>
      <c r="E32" s="29" t="s">
        <v>24</v>
      </c>
      <c r="F32" s="29" t="s">
        <v>25</v>
      </c>
      <c r="G32" s="29" t="s">
        <v>26</v>
      </c>
      <c r="H32" s="29" t="s">
        <v>27</v>
      </c>
      <c r="I32" s="29" t="s">
        <v>28</v>
      </c>
      <c r="J32" s="29" t="s">
        <v>29</v>
      </c>
      <c r="K32" s="29" t="s">
        <v>30</v>
      </c>
      <c r="L32" s="29" t="s">
        <v>31</v>
      </c>
      <c r="M32" s="29" t="s">
        <v>32</v>
      </c>
      <c r="N32" s="29" t="s">
        <v>33</v>
      </c>
      <c r="O32" s="29" t="s">
        <v>34</v>
      </c>
      <c r="P32" s="29" t="s">
        <v>35</v>
      </c>
      <c r="Q32" s="29" t="s">
        <v>36</v>
      </c>
      <c r="R32" s="29" t="s">
        <v>37</v>
      </c>
      <c r="S32" s="29" t="s">
        <v>38</v>
      </c>
      <c r="T32" s="29" t="s">
        <v>39</v>
      </c>
    </row>
    <row r="33" spans="1:20" x14ac:dyDescent="0.25">
      <c r="A33" s="3">
        <v>33</v>
      </c>
      <c r="B33" s="3">
        <f>Codestufen!B34</f>
        <v>0</v>
      </c>
      <c r="C33" s="3">
        <f t="shared" si="0"/>
        <v>0</v>
      </c>
      <c r="D33" s="26" t="s">
        <v>54</v>
      </c>
      <c r="E33" s="26">
        <v>7</v>
      </c>
      <c r="F33" s="30" t="s">
        <v>60</v>
      </c>
      <c r="G33" s="25">
        <v>1</v>
      </c>
      <c r="H33" s="26">
        <f>IF(TRIM(F33)="",0,1)</f>
        <v>1</v>
      </c>
      <c r="I33" s="26">
        <f>COUNT(G33:G33)</f>
        <v>1</v>
      </c>
      <c r="J33" s="26">
        <f>IF(I33 &gt;= H33,0,1)</f>
        <v>0</v>
      </c>
      <c r="K33" s="26">
        <f>IF(AND(I33 &gt; 0,H33=0),1,0)</f>
        <v>0</v>
      </c>
      <c r="L33" s="26"/>
      <c r="M33" s="26"/>
      <c r="N33" s="26"/>
      <c r="O33" s="26"/>
      <c r="P33" s="26"/>
      <c r="Q33" s="26"/>
      <c r="R33" s="26"/>
      <c r="S33" s="26"/>
      <c r="T33" s="26"/>
    </row>
    <row r="34" spans="1:20" x14ac:dyDescent="0.25">
      <c r="A34" s="3">
        <v>34</v>
      </c>
      <c r="B34" s="3">
        <f>Codestufen!B35</f>
        <v>0</v>
      </c>
      <c r="C34" s="3">
        <f t="shared" si="0"/>
        <v>0</v>
      </c>
      <c r="D34" s="26" t="s">
        <v>54</v>
      </c>
      <c r="E34" s="26">
        <v>17</v>
      </c>
      <c r="F34" s="30" t="s">
        <v>60</v>
      </c>
      <c r="G34" s="25">
        <v>1</v>
      </c>
      <c r="H34" s="26">
        <f>IF(TRIM(F34)="",0,1)</f>
        <v>1</v>
      </c>
      <c r="I34" s="26">
        <f>COUNT(G34:G34)</f>
        <v>1</v>
      </c>
      <c r="J34" s="26">
        <f>IF(I34 &gt;= H34,0,1)</f>
        <v>0</v>
      </c>
      <c r="K34" s="26">
        <f>IF(AND(I34 &gt; 0,H34=0),1,0)</f>
        <v>0</v>
      </c>
      <c r="L34" s="26"/>
      <c r="M34" s="26"/>
      <c r="N34" s="26"/>
      <c r="O34" s="26"/>
      <c r="P34" s="26"/>
      <c r="Q34" s="26"/>
      <c r="R34" s="26"/>
      <c r="S34" s="26"/>
      <c r="T34" s="26"/>
    </row>
    <row r="35" spans="1:20" x14ac:dyDescent="0.25">
      <c r="A35" s="3">
        <v>35</v>
      </c>
      <c r="B35" s="3">
        <f>Codestufen!B36</f>
        <v>0</v>
      </c>
      <c r="C35" s="3">
        <f t="shared" si="0"/>
        <v>0</v>
      </c>
      <c r="D35" s="26" t="s">
        <v>54</v>
      </c>
      <c r="E35" s="26">
        <v>23</v>
      </c>
      <c r="F35" s="30" t="s">
        <v>60</v>
      </c>
      <c r="G35" s="25">
        <v>1</v>
      </c>
      <c r="H35" s="26">
        <f>IF(TRIM(F35)="",0,1)</f>
        <v>1</v>
      </c>
      <c r="I35" s="26">
        <f>COUNT(G35:G35)</f>
        <v>1</v>
      </c>
      <c r="J35" s="26">
        <f>IF(I35 &gt;= H35,0,1)</f>
        <v>0</v>
      </c>
      <c r="K35" s="26">
        <f>IF(AND(I35 &gt; 0,H35=0),1,0)</f>
        <v>0</v>
      </c>
      <c r="L35" s="26"/>
      <c r="M35" s="26"/>
      <c r="N35" s="26"/>
      <c r="O35" s="26"/>
      <c r="P35" s="26"/>
      <c r="Q35" s="26"/>
      <c r="R35" s="26"/>
      <c r="S35" s="26"/>
      <c r="T35" s="26"/>
    </row>
    <row r="36" spans="1:20" x14ac:dyDescent="0.25">
      <c r="A36" s="3">
        <v>36</v>
      </c>
      <c r="B36" s="3">
        <f>Codestufen!B37</f>
        <v>0</v>
      </c>
      <c r="C36" s="3">
        <f t="shared" si="0"/>
        <v>0</v>
      </c>
      <c r="D36" s="26" t="s">
        <v>54</v>
      </c>
      <c r="E36" s="26">
        <v>51</v>
      </c>
      <c r="F36" s="30" t="s">
        <v>60</v>
      </c>
      <c r="G36" s="25">
        <v>1</v>
      </c>
      <c r="H36" s="26">
        <f>IF(TRIM(F36)="",0,1)</f>
        <v>1</v>
      </c>
      <c r="I36" s="26">
        <f>COUNT(G36:G36)</f>
        <v>1</v>
      </c>
      <c r="J36" s="26">
        <f>IF(I36 &gt;= H36,0,1)</f>
        <v>0</v>
      </c>
      <c r="K36" s="26">
        <f>IF(AND(I36 &gt; 0,H36=0),1,0)</f>
        <v>0</v>
      </c>
      <c r="L36" s="26"/>
      <c r="M36" s="26"/>
      <c r="N36" s="26"/>
      <c r="O36" s="26"/>
      <c r="P36" s="26"/>
      <c r="Q36" s="26"/>
      <c r="R36" s="26"/>
      <c r="S36" s="26"/>
      <c r="T36" s="26"/>
    </row>
    <row r="37" spans="1:20" x14ac:dyDescent="0.25">
      <c r="A37" s="3">
        <v>37</v>
      </c>
      <c r="B37" s="3">
        <f>Codestufen!B38</f>
        <v>0</v>
      </c>
      <c r="C37" s="3">
        <f t="shared" si="0"/>
        <v>0</v>
      </c>
      <c r="D37" s="26" t="s">
        <v>54</v>
      </c>
      <c r="E37" s="26">
        <v>58</v>
      </c>
      <c r="F37" s="30" t="s">
        <v>60</v>
      </c>
      <c r="G37" s="25">
        <v>1</v>
      </c>
      <c r="H37" s="26">
        <f>IF(TRIM(F37)="",0,1)</f>
        <v>1</v>
      </c>
      <c r="I37" s="26">
        <f>COUNT(G37:G37)</f>
        <v>1</v>
      </c>
      <c r="J37" s="26">
        <f>IF(I37 &gt;= H37,0,1)</f>
        <v>0</v>
      </c>
      <c r="K37" s="26">
        <f>IF(AND(I37 &gt; 0,H37=0),1,0)</f>
        <v>0</v>
      </c>
      <c r="L37" s="26"/>
      <c r="M37" s="26"/>
      <c r="N37" s="26"/>
      <c r="O37" s="26"/>
      <c r="P37" s="26"/>
      <c r="Q37" s="26"/>
      <c r="R37" s="26"/>
      <c r="S37" s="26"/>
      <c r="T37" s="26"/>
    </row>
    <row r="38" spans="1:20" x14ac:dyDescent="0.25">
      <c r="A38" s="3">
        <v>38</v>
      </c>
      <c r="B38" s="3">
        <f>Codestufen!B39</f>
        <v>0</v>
      </c>
      <c r="C38" s="3">
        <f t="shared" si="0"/>
        <v>0</v>
      </c>
      <c r="D38" s="26" t="s">
        <v>54</v>
      </c>
      <c r="E38" s="26">
        <v>65</v>
      </c>
      <c r="F38" s="30" t="s">
        <v>60</v>
      </c>
      <c r="G38" s="25">
        <v>1</v>
      </c>
      <c r="H38" s="26">
        <f>IF(TRIM(F38)="",0,1)</f>
        <v>1</v>
      </c>
      <c r="I38" s="26">
        <f>COUNT(G38:G38)</f>
        <v>1</v>
      </c>
      <c r="J38" s="26">
        <f>IF(I38 &gt;= H38,0,1)</f>
        <v>0</v>
      </c>
      <c r="K38" s="26">
        <f>IF(AND(I38 &gt; 0,H38=0),1,0)</f>
        <v>0</v>
      </c>
      <c r="L38" s="26"/>
      <c r="M38" s="26"/>
      <c r="N38" s="26"/>
      <c r="O38" s="26"/>
      <c r="P38" s="26"/>
      <c r="Q38" s="26"/>
      <c r="R38" s="26"/>
      <c r="S38" s="26"/>
      <c r="T38" s="26"/>
    </row>
    <row r="39" spans="1:20" x14ac:dyDescent="0.25">
      <c r="A39" s="3">
        <v>39</v>
      </c>
      <c r="B39" s="3">
        <f>Codestufen!B40</f>
        <v>0</v>
      </c>
      <c r="C39" s="3">
        <f t="shared" si="0"/>
        <v>0</v>
      </c>
      <c r="D39" s="26" t="s">
        <v>54</v>
      </c>
      <c r="E39" s="26">
        <v>67</v>
      </c>
      <c r="F39" s="30" t="s">
        <v>60</v>
      </c>
      <c r="G39" s="25">
        <v>1</v>
      </c>
      <c r="H39" s="26">
        <f>IF(TRIM(F39)="",0,1)</f>
        <v>1</v>
      </c>
      <c r="I39" s="26">
        <f>COUNT(G39:G39)</f>
        <v>1</v>
      </c>
      <c r="J39" s="26">
        <f>IF(I39 &gt;= H39,0,1)</f>
        <v>0</v>
      </c>
      <c r="K39" s="26">
        <f>IF(AND(I39 &gt; 0,H39=0),1,0)</f>
        <v>0</v>
      </c>
      <c r="L39" s="26"/>
      <c r="M39" s="26"/>
      <c r="N39" s="26"/>
      <c r="O39" s="26"/>
      <c r="P39" s="26"/>
      <c r="Q39" s="26"/>
      <c r="R39" s="26"/>
      <c r="S39" s="26"/>
      <c r="T39" s="26"/>
    </row>
    <row r="40" spans="1:20" x14ac:dyDescent="0.25">
      <c r="A40" s="3">
        <v>40</v>
      </c>
      <c r="B40" s="3">
        <f>Codestufen!B41</f>
        <v>0</v>
      </c>
      <c r="C40" s="3">
        <f t="shared" si="0"/>
        <v>0</v>
      </c>
      <c r="D40" s="26" t="s">
        <v>54</v>
      </c>
      <c r="E40" s="26">
        <v>73</v>
      </c>
      <c r="F40" s="30" t="s">
        <v>60</v>
      </c>
      <c r="G40" s="25">
        <v>1</v>
      </c>
      <c r="H40" s="26">
        <f>IF(TRIM(F40)="",0,1)</f>
        <v>1</v>
      </c>
      <c r="I40" s="26">
        <f>COUNT(G40:G40)</f>
        <v>1</v>
      </c>
      <c r="J40" s="26">
        <f>IF(I40 &gt;= H40,0,1)</f>
        <v>0</v>
      </c>
      <c r="K40" s="26">
        <f>IF(AND(I40 &gt; 0,H40=0),1,0)</f>
        <v>0</v>
      </c>
      <c r="L40" s="26"/>
      <c r="M40" s="26"/>
      <c r="N40" s="26"/>
      <c r="O40" s="26"/>
      <c r="P40" s="26"/>
      <c r="Q40" s="26"/>
      <c r="R40" s="26"/>
      <c r="S40" s="26"/>
      <c r="T40" s="26"/>
    </row>
    <row r="41" spans="1:20" x14ac:dyDescent="0.25">
      <c r="A41" s="3">
        <v>41</v>
      </c>
      <c r="B41" s="3">
        <f>Codestufen!B42</f>
        <v>0</v>
      </c>
      <c r="C41" s="3">
        <f t="shared" si="0"/>
        <v>0</v>
      </c>
      <c r="D41" s="26" t="s">
        <v>54</v>
      </c>
      <c r="E41" s="26">
        <v>74</v>
      </c>
      <c r="F41" s="30" t="s">
        <v>60</v>
      </c>
      <c r="G41" s="25">
        <v>1</v>
      </c>
      <c r="H41" s="26">
        <f>IF(TRIM(F41)="",0,1)</f>
        <v>1</v>
      </c>
      <c r="I41" s="26">
        <f>COUNT(G41:G41)</f>
        <v>1</v>
      </c>
      <c r="J41" s="26">
        <f>IF(I41 &gt;= H41,0,1)</f>
        <v>0</v>
      </c>
      <c r="K41" s="26">
        <f>IF(AND(I41 &gt; 0,H41=0),1,0)</f>
        <v>0</v>
      </c>
      <c r="L41" s="26"/>
      <c r="M41" s="26"/>
      <c r="N41" s="26"/>
      <c r="O41" s="26"/>
      <c r="P41" s="26"/>
      <c r="Q41" s="26"/>
      <c r="R41" s="26"/>
      <c r="S41" s="26"/>
      <c r="T41" s="26"/>
    </row>
    <row r="42" spans="1:20" x14ac:dyDescent="0.25">
      <c r="A42" s="3">
        <v>42</v>
      </c>
      <c r="B42" s="3">
        <f>Codestufen!B43</f>
        <v>0</v>
      </c>
      <c r="C42" s="3">
        <f t="shared" si="0"/>
        <v>0</v>
      </c>
      <c r="D42" s="26" t="s">
        <v>54</v>
      </c>
      <c r="E42" s="26">
        <v>91</v>
      </c>
      <c r="F42" s="30" t="s">
        <v>60</v>
      </c>
      <c r="G42" s="25">
        <v>1</v>
      </c>
      <c r="H42" s="26">
        <f>IF(TRIM(F42)="",0,1)</f>
        <v>1</v>
      </c>
      <c r="I42" s="26">
        <f>COUNT(G42:G42)</f>
        <v>1</v>
      </c>
      <c r="J42" s="26">
        <f>IF(I42 &gt;= H42,0,1)</f>
        <v>0</v>
      </c>
      <c r="K42" s="26">
        <f>IF(AND(I42 &gt; 0,H42=0),1,0)</f>
        <v>0</v>
      </c>
      <c r="L42" s="26"/>
      <c r="M42" s="26"/>
      <c r="N42" s="26"/>
      <c r="O42" s="26"/>
      <c r="P42" s="26"/>
      <c r="Q42" s="26"/>
      <c r="R42" s="26"/>
      <c r="S42" s="26"/>
      <c r="T42" s="26"/>
    </row>
    <row r="43" spans="1:20" x14ac:dyDescent="0.25">
      <c r="A43" s="3">
        <v>43</v>
      </c>
      <c r="B43" s="3">
        <f>Codestufen!B44</f>
        <v>0</v>
      </c>
      <c r="C43" s="3">
        <f t="shared" si="0"/>
        <v>0</v>
      </c>
      <c r="D43" s="26" t="s">
        <v>54</v>
      </c>
      <c r="E43" s="26">
        <v>100</v>
      </c>
      <c r="F43" s="30" t="s">
        <v>60</v>
      </c>
      <c r="G43" s="25">
        <v>1</v>
      </c>
      <c r="H43" s="26">
        <f>IF(TRIM(F43)="",0,1)</f>
        <v>1</v>
      </c>
      <c r="I43" s="26">
        <f>COUNT(G43:G43)</f>
        <v>1</v>
      </c>
      <c r="J43" s="26">
        <f>IF(I43 &gt;= H43,0,1)</f>
        <v>0</v>
      </c>
      <c r="K43" s="26">
        <f>IF(AND(I43 &gt; 0,H43=0),1,0)</f>
        <v>0</v>
      </c>
      <c r="L43" s="26"/>
      <c r="M43" s="26"/>
      <c r="N43" s="26"/>
      <c r="O43" s="26"/>
      <c r="P43" s="26"/>
      <c r="Q43" s="26"/>
      <c r="R43" s="26"/>
      <c r="S43" s="26"/>
      <c r="T43" s="26"/>
    </row>
    <row r="44" spans="1:20" x14ac:dyDescent="0.25">
      <c r="A44" s="3">
        <v>44</v>
      </c>
      <c r="B44" s="3">
        <f>Codestufen!B45</f>
        <v>0</v>
      </c>
      <c r="C44" s="3">
        <f t="shared" si="0"/>
        <v>0</v>
      </c>
      <c r="D44" s="26" t="s">
        <v>54</v>
      </c>
      <c r="E44" s="26">
        <v>3</v>
      </c>
      <c r="F44" s="30" t="s">
        <v>57</v>
      </c>
      <c r="G44" s="25">
        <v>2</v>
      </c>
      <c r="H44" s="26">
        <f>IF(TRIM(F44)="",0,1)</f>
        <v>1</v>
      </c>
      <c r="I44" s="26">
        <f>COUNT(G44:G44)</f>
        <v>1</v>
      </c>
      <c r="J44" s="26">
        <f>IF(I44 &gt;= H44,0,1)</f>
        <v>0</v>
      </c>
      <c r="K44" s="26">
        <f>IF(AND(I44 &gt; 0,H44=0),1,0)</f>
        <v>0</v>
      </c>
      <c r="L44" s="26"/>
      <c r="M44" s="26"/>
      <c r="N44" s="26"/>
      <c r="O44" s="26"/>
      <c r="P44" s="26"/>
      <c r="Q44" s="26"/>
      <c r="R44" s="26"/>
      <c r="S44" s="26"/>
      <c r="T44" s="26"/>
    </row>
    <row r="45" spans="1:20" x14ac:dyDescent="0.25">
      <c r="A45" s="3">
        <v>45</v>
      </c>
      <c r="B45" s="3">
        <f>Codestufen!B46</f>
        <v>0</v>
      </c>
      <c r="C45" s="3">
        <f t="shared" si="0"/>
        <v>0</v>
      </c>
      <c r="D45" s="26" t="s">
        <v>54</v>
      </c>
      <c r="E45" s="26">
        <v>13</v>
      </c>
      <c r="F45" s="30" t="s">
        <v>57</v>
      </c>
      <c r="G45" s="25">
        <v>2</v>
      </c>
      <c r="H45" s="26">
        <f>IF(TRIM(F45)="",0,1)</f>
        <v>1</v>
      </c>
      <c r="I45" s="26">
        <f>COUNT(G45:G45)</f>
        <v>1</v>
      </c>
      <c r="J45" s="26">
        <f>IF(I45 &gt;= H45,0,1)</f>
        <v>0</v>
      </c>
      <c r="K45" s="26">
        <f>IF(AND(I45 &gt; 0,H45=0),1,0)</f>
        <v>0</v>
      </c>
      <c r="L45" s="26"/>
      <c r="M45" s="26"/>
      <c r="N45" s="26"/>
      <c r="O45" s="26"/>
      <c r="P45" s="26"/>
      <c r="Q45" s="26"/>
      <c r="R45" s="26"/>
      <c r="S45" s="26"/>
      <c r="T45" s="26"/>
    </row>
    <row r="46" spans="1:20" x14ac:dyDescent="0.25">
      <c r="A46" s="3">
        <v>46</v>
      </c>
      <c r="B46" s="3">
        <f>Codestufen!B47</f>
        <v>0</v>
      </c>
      <c r="C46" s="3">
        <f t="shared" si="0"/>
        <v>0</v>
      </c>
      <c r="D46" s="26" t="s">
        <v>54</v>
      </c>
      <c r="E46" s="26">
        <v>22</v>
      </c>
      <c r="F46" s="30" t="s">
        <v>57</v>
      </c>
      <c r="G46" s="25">
        <v>2</v>
      </c>
      <c r="H46" s="26">
        <f>IF(TRIM(F46)="",0,1)</f>
        <v>1</v>
      </c>
      <c r="I46" s="26">
        <f>COUNT(G46:G46)</f>
        <v>1</v>
      </c>
      <c r="J46" s="26">
        <f>IF(I46 &gt;= H46,0,1)</f>
        <v>0</v>
      </c>
      <c r="K46" s="26">
        <f>IF(AND(I46 &gt; 0,H46=0),1,0)</f>
        <v>0</v>
      </c>
      <c r="L46" s="26"/>
      <c r="M46" s="26"/>
      <c r="N46" s="26"/>
      <c r="O46" s="26"/>
      <c r="P46" s="26"/>
      <c r="Q46" s="26"/>
      <c r="R46" s="26"/>
      <c r="S46" s="26"/>
      <c r="T46" s="26"/>
    </row>
    <row r="47" spans="1:20" x14ac:dyDescent="0.25">
      <c r="A47" s="3">
        <v>47</v>
      </c>
      <c r="B47" s="3">
        <f>Codestufen!B48</f>
        <v>0</v>
      </c>
      <c r="C47" s="3">
        <f t="shared" si="0"/>
        <v>0</v>
      </c>
      <c r="D47" s="26" t="s">
        <v>54</v>
      </c>
      <c r="E47" s="26">
        <v>26</v>
      </c>
      <c r="F47" s="30" t="s">
        <v>57</v>
      </c>
      <c r="G47" s="25">
        <v>2</v>
      </c>
      <c r="H47" s="26">
        <f>IF(TRIM(F47)="",0,1)</f>
        <v>1</v>
      </c>
      <c r="I47" s="26">
        <f>COUNT(G47:G47)</f>
        <v>1</v>
      </c>
      <c r="J47" s="26">
        <f>IF(I47 &gt;= H47,0,1)</f>
        <v>0</v>
      </c>
      <c r="K47" s="26">
        <f>IF(AND(I47 &gt; 0,H47=0),1,0)</f>
        <v>0</v>
      </c>
      <c r="L47" s="26"/>
      <c r="M47" s="26"/>
      <c r="N47" s="26"/>
      <c r="O47" s="26"/>
      <c r="P47" s="26"/>
      <c r="Q47" s="26"/>
      <c r="R47" s="26"/>
      <c r="S47" s="26"/>
      <c r="T47" s="26"/>
    </row>
    <row r="48" spans="1:20" x14ac:dyDescent="0.25">
      <c r="A48" s="3">
        <v>48</v>
      </c>
      <c r="B48" s="3">
        <f>Codestufen!B49</f>
        <v>0</v>
      </c>
      <c r="C48" s="3">
        <f t="shared" si="0"/>
        <v>0</v>
      </c>
      <c r="D48" s="26" t="s">
        <v>54</v>
      </c>
      <c r="E48" s="26">
        <v>35</v>
      </c>
      <c r="F48" s="30" t="s">
        <v>57</v>
      </c>
      <c r="G48" s="25">
        <v>2</v>
      </c>
      <c r="H48" s="26">
        <f>IF(TRIM(F48)="",0,1)</f>
        <v>1</v>
      </c>
      <c r="I48" s="26">
        <f>COUNT(G48:G48)</f>
        <v>1</v>
      </c>
      <c r="J48" s="26">
        <f>IF(I48 &gt;= H48,0,1)</f>
        <v>0</v>
      </c>
      <c r="K48" s="26">
        <f>IF(AND(I48 &gt; 0,H48=0),1,0)</f>
        <v>0</v>
      </c>
      <c r="L48" s="26"/>
      <c r="M48" s="26"/>
      <c r="N48" s="26"/>
      <c r="O48" s="26"/>
      <c r="P48" s="26"/>
      <c r="Q48" s="26"/>
      <c r="R48" s="26"/>
      <c r="S48" s="26"/>
      <c r="T48" s="26"/>
    </row>
    <row r="49" spans="1:20" x14ac:dyDescent="0.25">
      <c r="A49" s="3">
        <v>49</v>
      </c>
      <c r="B49" s="3">
        <f>Codestufen!B50</f>
        <v>0</v>
      </c>
      <c r="C49" s="3">
        <f t="shared" si="0"/>
        <v>0</v>
      </c>
      <c r="D49" s="26" t="s">
        <v>54</v>
      </c>
      <c r="E49" s="26">
        <v>38</v>
      </c>
      <c r="F49" s="30" t="s">
        <v>57</v>
      </c>
      <c r="G49" s="25">
        <v>2</v>
      </c>
      <c r="H49" s="26">
        <f>IF(TRIM(F49)="",0,1)</f>
        <v>1</v>
      </c>
      <c r="I49" s="26">
        <f>COUNT(G49:G49)</f>
        <v>1</v>
      </c>
      <c r="J49" s="26">
        <f>IF(I49 &gt;= H49,0,1)</f>
        <v>0</v>
      </c>
      <c r="K49" s="26">
        <f>IF(AND(I49 &gt; 0,H49=0),1,0)</f>
        <v>0</v>
      </c>
      <c r="L49" s="26"/>
      <c r="M49" s="26"/>
      <c r="N49" s="26"/>
      <c r="O49" s="26"/>
      <c r="P49" s="26"/>
      <c r="Q49" s="26"/>
      <c r="R49" s="26"/>
      <c r="S49" s="26"/>
      <c r="T49" s="26"/>
    </row>
    <row r="50" spans="1:20" x14ac:dyDescent="0.25">
      <c r="A50" s="3">
        <v>50</v>
      </c>
      <c r="B50" s="3">
        <f>Codestufen!B51</f>
        <v>0</v>
      </c>
      <c r="C50" s="3">
        <f t="shared" si="0"/>
        <v>0</v>
      </c>
      <c r="D50" s="26" t="s">
        <v>54</v>
      </c>
      <c r="E50" s="26">
        <v>45</v>
      </c>
      <c r="F50" s="30" t="s">
        <v>57</v>
      </c>
      <c r="G50" s="25">
        <v>2</v>
      </c>
      <c r="H50" s="26">
        <f>IF(TRIM(F50)="",0,1)</f>
        <v>1</v>
      </c>
      <c r="I50" s="26">
        <f>COUNT(G50:G50)</f>
        <v>1</v>
      </c>
      <c r="J50" s="26">
        <f>IF(I50 &gt;= H50,0,1)</f>
        <v>0</v>
      </c>
      <c r="K50" s="26">
        <f>IF(AND(I50 &gt; 0,H50=0),1,0)</f>
        <v>0</v>
      </c>
      <c r="L50" s="26"/>
      <c r="M50" s="26"/>
      <c r="N50" s="26"/>
      <c r="O50" s="26"/>
      <c r="P50" s="26"/>
      <c r="Q50" s="26"/>
      <c r="R50" s="26"/>
      <c r="S50" s="26"/>
      <c r="T50" s="26"/>
    </row>
    <row r="51" spans="1:20" x14ac:dyDescent="0.25">
      <c r="A51" s="3">
        <v>51</v>
      </c>
      <c r="B51" s="3">
        <f>Codestufen!B52</f>
        <v>0</v>
      </c>
      <c r="C51" s="3">
        <f t="shared" si="0"/>
        <v>0</v>
      </c>
      <c r="D51" s="26" t="s">
        <v>54</v>
      </c>
      <c r="E51" s="26">
        <v>47</v>
      </c>
      <c r="F51" s="30" t="s">
        <v>57</v>
      </c>
      <c r="G51" s="25">
        <v>2</v>
      </c>
      <c r="H51" s="26">
        <f>IF(TRIM(F51)="",0,1)</f>
        <v>1</v>
      </c>
      <c r="I51" s="26">
        <f>COUNT(G51:G51)</f>
        <v>1</v>
      </c>
      <c r="J51" s="26">
        <f>IF(I51 &gt;= H51,0,1)</f>
        <v>0</v>
      </c>
      <c r="K51" s="26">
        <f>IF(AND(I51 &gt; 0,H51=0),1,0)</f>
        <v>0</v>
      </c>
      <c r="L51" s="26"/>
      <c r="M51" s="26"/>
      <c r="N51" s="26"/>
      <c r="O51" s="26"/>
      <c r="P51" s="26"/>
      <c r="Q51" s="26"/>
      <c r="R51" s="26"/>
      <c r="S51" s="26"/>
      <c r="T51" s="26"/>
    </row>
    <row r="52" spans="1:20" x14ac:dyDescent="0.25">
      <c r="A52" s="3">
        <v>52</v>
      </c>
      <c r="B52" s="3">
        <f>Codestufen!B53</f>
        <v>0</v>
      </c>
      <c r="C52" s="3">
        <f t="shared" si="0"/>
        <v>0</v>
      </c>
      <c r="D52" s="26" t="s">
        <v>54</v>
      </c>
      <c r="E52" s="26">
        <v>55</v>
      </c>
      <c r="F52" s="30" t="s">
        <v>57</v>
      </c>
      <c r="G52" s="25">
        <v>2</v>
      </c>
      <c r="H52" s="26">
        <f>IF(TRIM(F52)="",0,1)</f>
        <v>1</v>
      </c>
      <c r="I52" s="26">
        <f>COUNT(G52:G52)</f>
        <v>1</v>
      </c>
      <c r="J52" s="26">
        <f>IF(I52 &gt;= H52,0,1)</f>
        <v>0</v>
      </c>
      <c r="K52" s="26">
        <f>IF(AND(I52 &gt; 0,H52=0),1,0)</f>
        <v>0</v>
      </c>
      <c r="L52" s="26"/>
      <c r="M52" s="26"/>
      <c r="N52" s="26"/>
      <c r="O52" s="26"/>
      <c r="P52" s="26"/>
      <c r="Q52" s="26"/>
      <c r="R52" s="26"/>
      <c r="S52" s="26"/>
      <c r="T52" s="26"/>
    </row>
    <row r="53" spans="1:20" x14ac:dyDescent="0.25">
      <c r="A53" s="3">
        <v>53</v>
      </c>
      <c r="B53" s="3">
        <f>Codestufen!B54</f>
        <v>0</v>
      </c>
      <c r="C53" s="3">
        <f t="shared" si="0"/>
        <v>0</v>
      </c>
      <c r="D53" s="26" t="s">
        <v>54</v>
      </c>
      <c r="E53" s="26">
        <v>72</v>
      </c>
      <c r="F53" s="30" t="s">
        <v>57</v>
      </c>
      <c r="G53" s="25">
        <v>2</v>
      </c>
      <c r="H53" s="26">
        <f>IF(TRIM(F53)="",0,1)</f>
        <v>1</v>
      </c>
      <c r="I53" s="26">
        <f>COUNT(G53:G53)</f>
        <v>1</v>
      </c>
      <c r="J53" s="26">
        <f>IF(I53 &gt;= H53,0,1)</f>
        <v>0</v>
      </c>
      <c r="K53" s="26">
        <f>IF(AND(I53 &gt; 0,H53=0),1,0)</f>
        <v>0</v>
      </c>
      <c r="L53" s="26"/>
      <c r="M53" s="26"/>
      <c r="N53" s="26"/>
      <c r="O53" s="26"/>
      <c r="P53" s="26"/>
      <c r="Q53" s="26"/>
      <c r="R53" s="26"/>
      <c r="S53" s="26"/>
      <c r="T53" s="26"/>
    </row>
    <row r="54" spans="1:20" x14ac:dyDescent="0.25">
      <c r="A54" s="3">
        <v>54</v>
      </c>
      <c r="B54" s="3">
        <f>Codestufen!B55</f>
        <v>0</v>
      </c>
      <c r="C54" s="3">
        <f t="shared" si="0"/>
        <v>0</v>
      </c>
      <c r="D54" s="26" t="s">
        <v>54</v>
      </c>
      <c r="E54" s="26">
        <v>78</v>
      </c>
      <c r="F54" s="30" t="s">
        <v>57</v>
      </c>
      <c r="G54" s="25">
        <v>2</v>
      </c>
      <c r="H54" s="26">
        <f>IF(TRIM(F54)="",0,1)</f>
        <v>1</v>
      </c>
      <c r="I54" s="26">
        <f>COUNT(G54:G54)</f>
        <v>1</v>
      </c>
      <c r="J54" s="26">
        <f>IF(I54 &gt;= H54,0,1)</f>
        <v>0</v>
      </c>
      <c r="K54" s="26">
        <f>IF(AND(I54 &gt; 0,H54=0),1,0)</f>
        <v>0</v>
      </c>
      <c r="L54" s="26"/>
      <c r="M54" s="26"/>
      <c r="N54" s="26"/>
      <c r="O54" s="26"/>
      <c r="P54" s="26"/>
      <c r="Q54" s="26"/>
      <c r="R54" s="26"/>
      <c r="S54" s="26"/>
      <c r="T54" s="26"/>
    </row>
    <row r="55" spans="1:20" x14ac:dyDescent="0.25">
      <c r="A55" s="3">
        <v>55</v>
      </c>
      <c r="B55" s="3">
        <f>Codestufen!B56</f>
        <v>0</v>
      </c>
      <c r="C55" s="3">
        <f t="shared" si="0"/>
        <v>0</v>
      </c>
      <c r="D55" s="26" t="s">
        <v>54</v>
      </c>
      <c r="E55" s="26">
        <v>88</v>
      </c>
      <c r="F55" s="30" t="s">
        <v>57</v>
      </c>
      <c r="G55" s="25">
        <v>2</v>
      </c>
      <c r="H55" s="26">
        <f>IF(TRIM(F55)="",0,1)</f>
        <v>1</v>
      </c>
      <c r="I55" s="26">
        <f>COUNT(G55:G55)</f>
        <v>1</v>
      </c>
      <c r="J55" s="26">
        <f>IF(I55 &gt;= H55,0,1)</f>
        <v>0</v>
      </c>
      <c r="K55" s="26">
        <f>IF(AND(I55 &gt; 0,H55=0),1,0)</f>
        <v>0</v>
      </c>
      <c r="L55" s="26"/>
      <c r="M55" s="26"/>
      <c r="N55" s="26"/>
      <c r="O55" s="26"/>
      <c r="P55" s="26"/>
      <c r="Q55" s="26"/>
      <c r="R55" s="26"/>
      <c r="S55" s="26"/>
      <c r="T55" s="26"/>
    </row>
    <row r="56" spans="1:20" x14ac:dyDescent="0.25">
      <c r="A56" s="3">
        <v>56</v>
      </c>
      <c r="B56" s="3">
        <f>Codestufen!B57</f>
        <v>0</v>
      </c>
      <c r="C56" s="3">
        <f t="shared" si="0"/>
        <v>0</v>
      </c>
      <c r="D56" s="26" t="s">
        <v>54</v>
      </c>
      <c r="E56" s="26">
        <v>89</v>
      </c>
      <c r="F56" s="30" t="s">
        <v>57</v>
      </c>
      <c r="G56" s="25">
        <v>2</v>
      </c>
      <c r="H56" s="26">
        <f>IF(TRIM(F56)="",0,1)</f>
        <v>1</v>
      </c>
      <c r="I56" s="26">
        <f>COUNT(G56:G56)</f>
        <v>1</v>
      </c>
      <c r="J56" s="26">
        <f>IF(I56 &gt;= H56,0,1)</f>
        <v>0</v>
      </c>
      <c r="K56" s="26">
        <f>IF(AND(I56 &gt; 0,H56=0),1,0)</f>
        <v>0</v>
      </c>
      <c r="L56" s="26"/>
      <c r="M56" s="26"/>
      <c r="N56" s="26"/>
      <c r="O56" s="26"/>
      <c r="P56" s="26"/>
      <c r="Q56" s="26"/>
      <c r="R56" s="26"/>
      <c r="S56" s="26"/>
      <c r="T56" s="26"/>
    </row>
    <row r="57" spans="1:20" x14ac:dyDescent="0.25">
      <c r="A57" s="3">
        <v>57</v>
      </c>
      <c r="B57" s="3">
        <f>Codestufen!B58</f>
        <v>0</v>
      </c>
      <c r="C57" s="3">
        <f t="shared" si="0"/>
        <v>0</v>
      </c>
      <c r="D57" s="26" t="s">
        <v>54</v>
      </c>
      <c r="E57" s="26">
        <v>97</v>
      </c>
      <c r="F57" s="30" t="s">
        <v>57</v>
      </c>
      <c r="G57" s="25">
        <v>2</v>
      </c>
      <c r="H57" s="26">
        <f>IF(TRIM(F57)="",0,1)</f>
        <v>1</v>
      </c>
      <c r="I57" s="26">
        <f>COUNT(G57:G57)</f>
        <v>1</v>
      </c>
      <c r="J57" s="26">
        <f>IF(I57 &gt;= H57,0,1)</f>
        <v>0</v>
      </c>
      <c r="K57" s="26">
        <f>IF(AND(I57 &gt; 0,H57=0),1,0)</f>
        <v>0</v>
      </c>
      <c r="L57" s="26"/>
      <c r="M57" s="26"/>
      <c r="N57" s="26"/>
      <c r="O57" s="26"/>
      <c r="P57" s="26"/>
      <c r="Q57" s="26"/>
      <c r="R57" s="26"/>
      <c r="S57" s="26"/>
      <c r="T57" s="26"/>
    </row>
    <row r="58" spans="1:20" x14ac:dyDescent="0.25">
      <c r="A58" s="3">
        <v>58</v>
      </c>
      <c r="B58" s="3">
        <f>Codestufen!B59</f>
        <v>0</v>
      </c>
      <c r="C58" s="3">
        <f t="shared" si="0"/>
        <v>0</v>
      </c>
      <c r="D58" s="26" t="s">
        <v>54</v>
      </c>
      <c r="E58" s="26">
        <v>5</v>
      </c>
      <c r="F58" s="30" t="s">
        <v>59</v>
      </c>
      <c r="G58" s="25">
        <v>3</v>
      </c>
      <c r="H58" s="26">
        <f>IF(TRIM(F58)="",0,1)</f>
        <v>1</v>
      </c>
      <c r="I58" s="26">
        <f>COUNT(G58:G58)</f>
        <v>1</v>
      </c>
      <c r="J58" s="26">
        <f>IF(I58 &gt;= H58,0,1)</f>
        <v>0</v>
      </c>
      <c r="K58" s="26">
        <f>IF(AND(I58 &gt; 0,H58=0),1,0)</f>
        <v>0</v>
      </c>
      <c r="L58" s="26"/>
      <c r="M58" s="26"/>
      <c r="N58" s="26"/>
      <c r="O58" s="26"/>
      <c r="P58" s="26"/>
      <c r="Q58" s="26"/>
      <c r="R58" s="26"/>
      <c r="S58" s="26"/>
      <c r="T58" s="26"/>
    </row>
    <row r="59" spans="1:20" x14ac:dyDescent="0.25">
      <c r="A59" s="3">
        <v>59</v>
      </c>
      <c r="B59" s="3">
        <f>Codestufen!B60</f>
        <v>0</v>
      </c>
      <c r="C59" s="3">
        <f t="shared" si="0"/>
        <v>0</v>
      </c>
      <c r="D59" s="26" t="s">
        <v>54</v>
      </c>
      <c r="E59" s="26">
        <v>12</v>
      </c>
      <c r="F59" s="30" t="s">
        <v>59</v>
      </c>
      <c r="G59" s="25">
        <v>3</v>
      </c>
      <c r="H59" s="26">
        <f>IF(TRIM(F59)="",0,1)</f>
        <v>1</v>
      </c>
      <c r="I59" s="26">
        <f>COUNT(G59:G59)</f>
        <v>1</v>
      </c>
      <c r="J59" s="26">
        <f>IF(I59 &gt;= H59,0,1)</f>
        <v>0</v>
      </c>
      <c r="K59" s="26">
        <f>IF(AND(I59 &gt; 0,H59=0),1,0)</f>
        <v>0</v>
      </c>
      <c r="L59" s="26"/>
      <c r="M59" s="26"/>
      <c r="N59" s="26"/>
      <c r="O59" s="26"/>
      <c r="P59" s="26"/>
      <c r="Q59" s="26"/>
      <c r="R59" s="26"/>
      <c r="S59" s="26"/>
      <c r="T59" s="26"/>
    </row>
    <row r="60" spans="1:20" x14ac:dyDescent="0.25">
      <c r="A60" s="3">
        <v>60</v>
      </c>
      <c r="B60" s="3">
        <f>Codestufen!B61</f>
        <v>0</v>
      </c>
      <c r="C60" s="3">
        <f t="shared" si="0"/>
        <v>0</v>
      </c>
      <c r="D60" s="26" t="s">
        <v>54</v>
      </c>
      <c r="E60" s="26">
        <v>14</v>
      </c>
      <c r="F60" s="30" t="s">
        <v>59</v>
      </c>
      <c r="G60" s="25">
        <v>3</v>
      </c>
      <c r="H60" s="26">
        <f>IF(TRIM(F60)="",0,1)</f>
        <v>1</v>
      </c>
      <c r="I60" s="26">
        <f>COUNT(G60:G60)</f>
        <v>1</v>
      </c>
      <c r="J60" s="26">
        <f>IF(I60 &gt;= H60,0,1)</f>
        <v>0</v>
      </c>
      <c r="K60" s="26">
        <f>IF(AND(I60 &gt; 0,H60=0),1,0)</f>
        <v>0</v>
      </c>
      <c r="L60" s="26"/>
      <c r="M60" s="26"/>
      <c r="N60" s="26"/>
      <c r="O60" s="26"/>
      <c r="P60" s="26"/>
      <c r="Q60" s="26"/>
      <c r="R60" s="26"/>
      <c r="S60" s="26"/>
      <c r="T60" s="26"/>
    </row>
    <row r="61" spans="1:20" x14ac:dyDescent="0.25">
      <c r="A61" s="3">
        <v>61</v>
      </c>
      <c r="B61" s="3">
        <f>Codestufen!B62</f>
        <v>0</v>
      </c>
      <c r="C61" s="3">
        <f t="shared" si="0"/>
        <v>0</v>
      </c>
      <c r="D61" s="26" t="s">
        <v>54</v>
      </c>
      <c r="E61" s="26">
        <v>39</v>
      </c>
      <c r="F61" s="30" t="s">
        <v>59</v>
      </c>
      <c r="G61" s="25">
        <v>3</v>
      </c>
      <c r="H61" s="26">
        <f>IF(TRIM(F61)="",0,1)</f>
        <v>1</v>
      </c>
      <c r="I61" s="26">
        <f>COUNT(G61:G61)</f>
        <v>1</v>
      </c>
      <c r="J61" s="26">
        <f>IF(I61 &gt;= H61,0,1)</f>
        <v>0</v>
      </c>
      <c r="K61" s="26">
        <f>IF(AND(I61 &gt; 0,H61=0),1,0)</f>
        <v>0</v>
      </c>
      <c r="L61" s="26"/>
      <c r="M61" s="26"/>
      <c r="N61" s="26"/>
      <c r="O61" s="26"/>
      <c r="P61" s="26"/>
      <c r="Q61" s="26"/>
      <c r="R61" s="26"/>
      <c r="S61" s="26"/>
      <c r="T61" s="26"/>
    </row>
    <row r="62" spans="1:20" x14ac:dyDescent="0.25">
      <c r="A62" s="3">
        <v>62</v>
      </c>
      <c r="B62" s="3">
        <f>Codestufen!B63</f>
        <v>0</v>
      </c>
      <c r="C62" s="3">
        <f t="shared" si="0"/>
        <v>0</v>
      </c>
      <c r="D62" s="26" t="s">
        <v>54</v>
      </c>
      <c r="E62" s="26">
        <v>49</v>
      </c>
      <c r="F62" s="30" t="s">
        <v>59</v>
      </c>
      <c r="G62" s="25">
        <v>3</v>
      </c>
      <c r="H62" s="26">
        <f>IF(TRIM(F62)="",0,1)</f>
        <v>1</v>
      </c>
      <c r="I62" s="26">
        <f>COUNT(G62:G62)</f>
        <v>1</v>
      </c>
      <c r="J62" s="26">
        <f>IF(I62 &gt;= H62,0,1)</f>
        <v>0</v>
      </c>
      <c r="K62" s="26">
        <f>IF(AND(I62 &gt; 0,H62=0),1,0)</f>
        <v>0</v>
      </c>
      <c r="L62" s="26"/>
      <c r="M62" s="26"/>
      <c r="N62" s="26"/>
      <c r="O62" s="26"/>
      <c r="P62" s="26"/>
      <c r="Q62" s="26"/>
      <c r="R62" s="26"/>
      <c r="S62" s="26"/>
      <c r="T62" s="26"/>
    </row>
    <row r="63" spans="1:20" x14ac:dyDescent="0.25">
      <c r="A63" s="3">
        <v>63</v>
      </c>
      <c r="B63" s="3">
        <f>Codestufen!B64</f>
        <v>0</v>
      </c>
      <c r="C63" s="3">
        <f t="shared" si="0"/>
        <v>0</v>
      </c>
      <c r="D63" s="26" t="s">
        <v>54</v>
      </c>
      <c r="E63" s="26">
        <v>62</v>
      </c>
      <c r="F63" s="30" t="s">
        <v>59</v>
      </c>
      <c r="G63" s="25">
        <v>3</v>
      </c>
      <c r="H63" s="26">
        <f>IF(TRIM(F63)="",0,1)</f>
        <v>1</v>
      </c>
      <c r="I63" s="26">
        <f>COUNT(G63:G63)</f>
        <v>1</v>
      </c>
      <c r="J63" s="26">
        <f>IF(I63 &gt;= H63,0,1)</f>
        <v>0</v>
      </c>
      <c r="K63" s="26">
        <f>IF(AND(I63 &gt; 0,H63=0),1,0)</f>
        <v>0</v>
      </c>
      <c r="L63" s="26"/>
      <c r="M63" s="26"/>
      <c r="N63" s="26"/>
      <c r="O63" s="26"/>
      <c r="P63" s="26"/>
      <c r="Q63" s="26"/>
      <c r="R63" s="26"/>
      <c r="S63" s="26"/>
      <c r="T63" s="26"/>
    </row>
    <row r="64" spans="1:20" x14ac:dyDescent="0.25">
      <c r="A64" s="3">
        <v>64</v>
      </c>
      <c r="B64" s="3">
        <f>Codestufen!B65</f>
        <v>0</v>
      </c>
      <c r="C64" s="3">
        <f t="shared" si="0"/>
        <v>0</v>
      </c>
      <c r="D64" s="26" t="s">
        <v>54</v>
      </c>
      <c r="E64" s="26">
        <v>79</v>
      </c>
      <c r="F64" s="30" t="s">
        <v>59</v>
      </c>
      <c r="G64" s="25">
        <v>3</v>
      </c>
      <c r="H64" s="26">
        <f>IF(TRIM(F64)="",0,1)</f>
        <v>1</v>
      </c>
      <c r="I64" s="26">
        <f>COUNT(G64:G64)</f>
        <v>1</v>
      </c>
      <c r="J64" s="26">
        <f>IF(I64 &gt;= H64,0,1)</f>
        <v>0</v>
      </c>
      <c r="K64" s="26">
        <f>IF(AND(I64 &gt; 0,H64=0),1,0)</f>
        <v>0</v>
      </c>
      <c r="L64" s="26"/>
      <c r="M64" s="26"/>
      <c r="N64" s="26"/>
      <c r="O64" s="26"/>
      <c r="P64" s="26"/>
      <c r="Q64" s="26"/>
      <c r="R64" s="26"/>
      <c r="S64" s="26"/>
      <c r="T64" s="26"/>
    </row>
    <row r="65" spans="1:20" x14ac:dyDescent="0.25">
      <c r="A65" s="3">
        <v>65</v>
      </c>
      <c r="B65" s="3">
        <f>Codestufen!B66</f>
        <v>0</v>
      </c>
      <c r="C65" s="3">
        <f t="shared" si="0"/>
        <v>0</v>
      </c>
      <c r="D65" s="26" t="s">
        <v>54</v>
      </c>
      <c r="E65" s="26">
        <v>98</v>
      </c>
      <c r="F65" s="30" t="s">
        <v>59</v>
      </c>
      <c r="G65" s="25">
        <v>3</v>
      </c>
      <c r="H65" s="26">
        <f>IF(TRIM(F65)="",0,1)</f>
        <v>1</v>
      </c>
      <c r="I65" s="26">
        <f>COUNT(G65:G65)</f>
        <v>1</v>
      </c>
      <c r="J65" s="26">
        <f>IF(I65 &gt;= H65,0,1)</f>
        <v>0</v>
      </c>
      <c r="K65" s="26">
        <f>IF(AND(I65 &gt; 0,H65=0),1,0)</f>
        <v>0</v>
      </c>
      <c r="L65" s="26"/>
      <c r="M65" s="26"/>
      <c r="N65" s="26"/>
      <c r="O65" s="26"/>
      <c r="P65" s="26"/>
      <c r="Q65" s="26"/>
      <c r="R65" s="26"/>
      <c r="S65" s="26"/>
      <c r="T65" s="26"/>
    </row>
    <row r="66" spans="1:20" x14ac:dyDescent="0.25">
      <c r="A66" s="3">
        <v>66</v>
      </c>
      <c r="B66" s="3">
        <f>Codestufen!B67</f>
        <v>0</v>
      </c>
      <c r="C66" s="3">
        <f t="shared" ref="C66:C100" si="2">COUNTIF(V_W_Q6_Zuord,A66)</f>
        <v>0</v>
      </c>
      <c r="D66" s="26" t="s">
        <v>54</v>
      </c>
      <c r="E66" s="26">
        <v>8</v>
      </c>
      <c r="F66" s="30" t="s">
        <v>61</v>
      </c>
      <c r="G66" s="25">
        <v>1</v>
      </c>
      <c r="H66" s="26">
        <f>IF(TRIM(F66)="",0,1)</f>
        <v>1</v>
      </c>
      <c r="I66" s="26">
        <f>COUNT(G66:G66)</f>
        <v>1</v>
      </c>
      <c r="J66" s="26">
        <f>IF(I66 &gt;= H66,0,1)</f>
        <v>0</v>
      </c>
      <c r="K66" s="26">
        <f>IF(AND(I66 &gt; 0,H66=0),1,0)</f>
        <v>0</v>
      </c>
      <c r="L66" s="26"/>
      <c r="M66" s="26"/>
      <c r="N66" s="26"/>
      <c r="O66" s="26"/>
      <c r="P66" s="26"/>
      <c r="Q66" s="26"/>
      <c r="R66" s="26"/>
      <c r="S66" s="26"/>
      <c r="T66" s="26"/>
    </row>
    <row r="67" spans="1:20" x14ac:dyDescent="0.25">
      <c r="A67" s="3">
        <v>67</v>
      </c>
      <c r="B67" s="3">
        <f>Codestufen!B68</f>
        <v>0</v>
      </c>
      <c r="C67" s="3">
        <f t="shared" si="2"/>
        <v>0</v>
      </c>
      <c r="D67" s="26" t="s">
        <v>54</v>
      </c>
      <c r="E67" s="26">
        <v>9</v>
      </c>
      <c r="F67" s="30" t="s">
        <v>61</v>
      </c>
      <c r="G67" s="25">
        <v>1</v>
      </c>
      <c r="H67" s="26">
        <f>IF(TRIM(F67)="",0,1)</f>
        <v>1</v>
      </c>
      <c r="I67" s="26">
        <f>COUNT(G67:G67)</f>
        <v>1</v>
      </c>
      <c r="J67" s="26">
        <f>IF(I67 &gt;= H67,0,1)</f>
        <v>0</v>
      </c>
      <c r="K67" s="26">
        <f>IF(AND(I67 &gt; 0,H67=0),1,0)</f>
        <v>0</v>
      </c>
      <c r="L67" s="26"/>
      <c r="M67" s="26"/>
      <c r="N67" s="26"/>
      <c r="O67" s="26"/>
      <c r="P67" s="26"/>
      <c r="Q67" s="26"/>
      <c r="R67" s="26"/>
      <c r="S67" s="26"/>
      <c r="T67" s="26"/>
    </row>
    <row r="68" spans="1:20" x14ac:dyDescent="0.25">
      <c r="A68" s="3">
        <v>68</v>
      </c>
      <c r="B68" s="3">
        <f>Codestufen!B69</f>
        <v>0</v>
      </c>
      <c r="C68" s="3">
        <f t="shared" si="2"/>
        <v>0</v>
      </c>
      <c r="D68" s="26" t="s">
        <v>54</v>
      </c>
      <c r="E68" s="26">
        <v>24</v>
      </c>
      <c r="F68" s="30" t="s">
        <v>61</v>
      </c>
      <c r="G68" s="25">
        <v>1</v>
      </c>
      <c r="H68" s="26">
        <f>IF(TRIM(F68)="",0,1)</f>
        <v>1</v>
      </c>
      <c r="I68" s="26">
        <f>COUNT(G68:G68)</f>
        <v>1</v>
      </c>
      <c r="J68" s="26">
        <f>IF(I68 &gt;= H68,0,1)</f>
        <v>0</v>
      </c>
      <c r="K68" s="26">
        <f>IF(AND(I68 &gt; 0,H68=0),1,0)</f>
        <v>0</v>
      </c>
      <c r="L68" s="26"/>
      <c r="M68" s="26"/>
      <c r="N68" s="26"/>
      <c r="O68" s="26"/>
      <c r="P68" s="26"/>
      <c r="Q68" s="26"/>
      <c r="R68" s="26"/>
      <c r="S68" s="26"/>
      <c r="T68" s="26"/>
    </row>
    <row r="69" spans="1:20" x14ac:dyDescent="0.25">
      <c r="A69" s="3">
        <v>69</v>
      </c>
      <c r="B69" s="3">
        <f>Codestufen!B70</f>
        <v>0</v>
      </c>
      <c r="C69" s="3">
        <f t="shared" si="2"/>
        <v>0</v>
      </c>
      <c r="D69" s="26" t="s">
        <v>54</v>
      </c>
      <c r="E69" s="26">
        <v>30</v>
      </c>
      <c r="F69" s="30" t="s">
        <v>61</v>
      </c>
      <c r="G69" s="25">
        <v>1</v>
      </c>
      <c r="H69" s="26">
        <f>IF(TRIM(F69)="",0,1)</f>
        <v>1</v>
      </c>
      <c r="I69" s="26">
        <f>COUNT(G69:G69)</f>
        <v>1</v>
      </c>
      <c r="J69" s="26">
        <f>IF(I69 &gt;= H69,0,1)</f>
        <v>0</v>
      </c>
      <c r="K69" s="26">
        <f>IF(AND(I69 &gt; 0,H69=0),1,0)</f>
        <v>0</v>
      </c>
      <c r="L69" s="26"/>
      <c r="M69" s="26"/>
      <c r="N69" s="26"/>
      <c r="O69" s="26"/>
      <c r="P69" s="26"/>
      <c r="Q69" s="26"/>
      <c r="R69" s="26"/>
      <c r="S69" s="26"/>
      <c r="T69" s="26"/>
    </row>
    <row r="70" spans="1:20" x14ac:dyDescent="0.25">
      <c r="A70" s="3">
        <v>70</v>
      </c>
      <c r="B70" s="3">
        <f>Codestufen!B71</f>
        <v>0</v>
      </c>
      <c r="C70" s="3">
        <f t="shared" si="2"/>
        <v>0</v>
      </c>
      <c r="D70" s="26" t="s">
        <v>54</v>
      </c>
      <c r="E70" s="26">
        <v>32</v>
      </c>
      <c r="F70" s="30" t="s">
        <v>61</v>
      </c>
      <c r="G70" s="25">
        <v>1</v>
      </c>
      <c r="H70" s="26">
        <f>IF(TRIM(F70)="",0,1)</f>
        <v>1</v>
      </c>
      <c r="I70" s="26">
        <f>COUNT(G70:G70)</f>
        <v>1</v>
      </c>
      <c r="J70" s="26">
        <f>IF(I70 &gt;= H70,0,1)</f>
        <v>0</v>
      </c>
      <c r="K70" s="26">
        <f>IF(AND(I70 &gt; 0,H70=0),1,0)</f>
        <v>0</v>
      </c>
      <c r="L70" s="26"/>
      <c r="M70" s="26"/>
      <c r="N70" s="26"/>
      <c r="O70" s="26"/>
      <c r="P70" s="26"/>
      <c r="Q70" s="26"/>
      <c r="R70" s="26"/>
      <c r="S70" s="26"/>
      <c r="T70" s="26"/>
    </row>
    <row r="71" spans="1:20" x14ac:dyDescent="0.25">
      <c r="A71" s="3">
        <v>71</v>
      </c>
      <c r="B71" s="3">
        <f>Codestufen!B72</f>
        <v>0</v>
      </c>
      <c r="C71" s="3">
        <f t="shared" si="2"/>
        <v>0</v>
      </c>
      <c r="D71" s="26" t="s">
        <v>54</v>
      </c>
      <c r="E71" s="26">
        <v>36</v>
      </c>
      <c r="F71" s="30" t="s">
        <v>61</v>
      </c>
      <c r="G71" s="25">
        <v>1</v>
      </c>
      <c r="H71" s="26">
        <f>IF(TRIM(F71)="",0,1)</f>
        <v>1</v>
      </c>
      <c r="I71" s="26">
        <f>COUNT(G71:G71)</f>
        <v>1</v>
      </c>
      <c r="J71" s="26">
        <f>IF(I71 &gt;= H71,0,1)</f>
        <v>0</v>
      </c>
      <c r="K71" s="26">
        <f>IF(AND(I71 &gt; 0,H71=0),1,0)</f>
        <v>0</v>
      </c>
      <c r="L71" s="26"/>
      <c r="M71" s="26"/>
      <c r="N71" s="26"/>
      <c r="O71" s="26"/>
      <c r="P71" s="26"/>
      <c r="Q71" s="26"/>
      <c r="R71" s="26"/>
      <c r="S71" s="26"/>
      <c r="T71" s="26"/>
    </row>
    <row r="72" spans="1:20" x14ac:dyDescent="0.25">
      <c r="A72" s="3">
        <v>72</v>
      </c>
      <c r="B72" s="3">
        <f>Codestufen!B73</f>
        <v>0</v>
      </c>
      <c r="C72" s="3">
        <f t="shared" si="2"/>
        <v>0</v>
      </c>
      <c r="D72" s="26" t="s">
        <v>54</v>
      </c>
      <c r="E72" s="26">
        <v>53</v>
      </c>
      <c r="F72" s="30" t="s">
        <v>61</v>
      </c>
      <c r="G72" s="25">
        <v>1</v>
      </c>
      <c r="H72" s="26">
        <f>IF(TRIM(F72)="",0,1)</f>
        <v>1</v>
      </c>
      <c r="I72" s="26">
        <f>COUNT(G72:G72)</f>
        <v>1</v>
      </c>
      <c r="J72" s="26">
        <f>IF(I72 &gt;= H72,0,1)</f>
        <v>0</v>
      </c>
      <c r="K72" s="26">
        <f>IF(AND(I72 &gt; 0,H72=0),1,0)</f>
        <v>0</v>
      </c>
      <c r="L72" s="26"/>
      <c r="M72" s="26"/>
      <c r="N72" s="26"/>
      <c r="O72" s="26"/>
      <c r="P72" s="26"/>
      <c r="Q72" s="26"/>
      <c r="R72" s="26"/>
      <c r="S72" s="26"/>
      <c r="T72" s="26"/>
    </row>
    <row r="73" spans="1:20" x14ac:dyDescent="0.25">
      <c r="A73" s="3">
        <v>73</v>
      </c>
      <c r="B73" s="3">
        <f>Codestufen!B74</f>
        <v>0</v>
      </c>
      <c r="C73" s="3">
        <f t="shared" si="2"/>
        <v>0</v>
      </c>
      <c r="D73" s="26" t="s">
        <v>54</v>
      </c>
      <c r="E73" s="26">
        <v>61</v>
      </c>
      <c r="F73" s="30" t="s">
        <v>61</v>
      </c>
      <c r="G73" s="25">
        <v>1</v>
      </c>
      <c r="H73" s="26">
        <f>IF(TRIM(F73)="",0,1)</f>
        <v>1</v>
      </c>
      <c r="I73" s="26">
        <f>COUNT(G73:G73)</f>
        <v>1</v>
      </c>
      <c r="J73" s="26">
        <f>IF(I73 &gt;= H73,0,1)</f>
        <v>0</v>
      </c>
      <c r="K73" s="26">
        <f>IF(AND(I73 &gt; 0,H73=0),1,0)</f>
        <v>0</v>
      </c>
      <c r="L73" s="26"/>
      <c r="M73" s="26"/>
      <c r="N73" s="26"/>
      <c r="O73" s="26"/>
      <c r="P73" s="26"/>
      <c r="Q73" s="26"/>
      <c r="R73" s="26"/>
      <c r="S73" s="26"/>
      <c r="T73" s="26"/>
    </row>
    <row r="74" spans="1:20" x14ac:dyDescent="0.25">
      <c r="A74" s="3">
        <v>74</v>
      </c>
      <c r="B74" s="3">
        <f>Codestufen!B75</f>
        <v>0</v>
      </c>
      <c r="C74" s="3">
        <f t="shared" si="2"/>
        <v>0</v>
      </c>
      <c r="D74" s="26" t="s">
        <v>54</v>
      </c>
      <c r="E74" s="26">
        <v>70</v>
      </c>
      <c r="F74" s="30" t="s">
        <v>61</v>
      </c>
      <c r="G74" s="25">
        <v>1</v>
      </c>
      <c r="H74" s="26">
        <f>IF(TRIM(F74)="",0,1)</f>
        <v>1</v>
      </c>
      <c r="I74" s="26">
        <f>COUNT(G74:G74)</f>
        <v>1</v>
      </c>
      <c r="J74" s="26">
        <f>IF(I74 &gt;= H74,0,1)</f>
        <v>0</v>
      </c>
      <c r="K74" s="26">
        <f>IF(AND(I74 &gt; 0,H74=0),1,0)</f>
        <v>0</v>
      </c>
      <c r="L74" s="26"/>
      <c r="M74" s="26"/>
      <c r="N74" s="26"/>
      <c r="O74" s="26"/>
      <c r="P74" s="26"/>
      <c r="Q74" s="26"/>
      <c r="R74" s="26"/>
      <c r="S74" s="26"/>
      <c r="T74" s="26"/>
    </row>
    <row r="75" spans="1:20" x14ac:dyDescent="0.25">
      <c r="A75" s="3">
        <v>75</v>
      </c>
      <c r="B75" s="3">
        <f>Codestufen!B76</f>
        <v>0</v>
      </c>
      <c r="C75" s="3">
        <f t="shared" si="2"/>
        <v>0</v>
      </c>
      <c r="D75" s="26" t="s">
        <v>54</v>
      </c>
      <c r="E75" s="26">
        <v>4</v>
      </c>
      <c r="F75" s="30" t="s">
        <v>58</v>
      </c>
      <c r="G75" s="25">
        <v>2</v>
      </c>
      <c r="H75" s="26">
        <f>IF(TRIM(F75)="",0,1)</f>
        <v>1</v>
      </c>
      <c r="I75" s="26">
        <f>COUNT(G75:G75)</f>
        <v>1</v>
      </c>
      <c r="J75" s="26">
        <f>IF(I75 &gt;= H75,0,1)</f>
        <v>0</v>
      </c>
      <c r="K75" s="26">
        <f>IF(AND(I75 &gt; 0,H75=0),1,0)</f>
        <v>0</v>
      </c>
      <c r="L75" s="26"/>
      <c r="M75" s="26"/>
      <c r="N75" s="26"/>
      <c r="O75" s="26"/>
      <c r="P75" s="26"/>
      <c r="Q75" s="26"/>
      <c r="R75" s="26"/>
      <c r="S75" s="26"/>
      <c r="T75" s="26"/>
    </row>
    <row r="76" spans="1:20" x14ac:dyDescent="0.25">
      <c r="A76" s="3">
        <v>76</v>
      </c>
      <c r="B76" s="3">
        <f>Codestufen!B77</f>
        <v>0</v>
      </c>
      <c r="C76" s="3">
        <f t="shared" si="2"/>
        <v>0</v>
      </c>
      <c r="D76" s="26" t="s">
        <v>54</v>
      </c>
      <c r="E76" s="26">
        <v>6</v>
      </c>
      <c r="F76" s="30" t="s">
        <v>58</v>
      </c>
      <c r="G76" s="25">
        <v>2</v>
      </c>
      <c r="H76" s="26">
        <f>IF(TRIM(F76)="",0,1)</f>
        <v>1</v>
      </c>
      <c r="I76" s="26">
        <f>COUNT(G76:G76)</f>
        <v>1</v>
      </c>
      <c r="J76" s="26">
        <f>IF(I76 &gt;= H76,0,1)</f>
        <v>0</v>
      </c>
      <c r="K76" s="26">
        <f>IF(AND(I76 &gt; 0,H76=0),1,0)</f>
        <v>0</v>
      </c>
      <c r="L76" s="26"/>
      <c r="M76" s="26"/>
      <c r="N76" s="26"/>
      <c r="O76" s="26"/>
      <c r="P76" s="26"/>
      <c r="Q76" s="26"/>
      <c r="R76" s="26"/>
      <c r="S76" s="26"/>
      <c r="T76" s="26"/>
    </row>
    <row r="77" spans="1:20" x14ac:dyDescent="0.25">
      <c r="A77" s="3">
        <v>77</v>
      </c>
      <c r="B77" s="3">
        <f>Codestufen!B78</f>
        <v>0</v>
      </c>
      <c r="C77" s="3">
        <f t="shared" si="2"/>
        <v>0</v>
      </c>
      <c r="D77" s="26" t="s">
        <v>54</v>
      </c>
      <c r="E77" s="26">
        <v>19</v>
      </c>
      <c r="F77" s="30" t="s">
        <v>58</v>
      </c>
      <c r="G77" s="25">
        <v>2</v>
      </c>
      <c r="H77" s="26">
        <f>IF(TRIM(F77)="",0,1)</f>
        <v>1</v>
      </c>
      <c r="I77" s="26">
        <f>COUNT(G77:G77)</f>
        <v>1</v>
      </c>
      <c r="J77" s="26">
        <f>IF(I77 &gt;= H77,0,1)</f>
        <v>0</v>
      </c>
      <c r="K77" s="26">
        <f>IF(AND(I77 &gt; 0,H77=0),1,0)</f>
        <v>0</v>
      </c>
      <c r="L77" s="26"/>
      <c r="M77" s="26"/>
      <c r="N77" s="26"/>
      <c r="O77" s="26"/>
      <c r="P77" s="26"/>
      <c r="Q77" s="26"/>
      <c r="R77" s="26"/>
      <c r="S77" s="26"/>
      <c r="T77" s="26"/>
    </row>
    <row r="78" spans="1:20" x14ac:dyDescent="0.25">
      <c r="A78" s="3">
        <v>78</v>
      </c>
      <c r="B78" s="3">
        <f>Codestufen!B79</f>
        <v>0</v>
      </c>
      <c r="C78" s="3">
        <f t="shared" si="2"/>
        <v>0</v>
      </c>
      <c r="D78" s="26" t="s">
        <v>54</v>
      </c>
      <c r="E78" s="26">
        <v>25</v>
      </c>
      <c r="F78" s="30" t="s">
        <v>58</v>
      </c>
      <c r="G78" s="25">
        <v>2</v>
      </c>
      <c r="H78" s="26">
        <f>IF(TRIM(F78)="",0,1)</f>
        <v>1</v>
      </c>
      <c r="I78" s="26">
        <f>COUNT(G78:G78)</f>
        <v>1</v>
      </c>
      <c r="J78" s="26">
        <f>IF(I78 &gt;= H78,0,1)</f>
        <v>0</v>
      </c>
      <c r="K78" s="26">
        <f>IF(AND(I78 &gt; 0,H78=0),1,0)</f>
        <v>0</v>
      </c>
      <c r="L78" s="26"/>
      <c r="M78" s="26"/>
      <c r="N78" s="26"/>
      <c r="O78" s="26"/>
      <c r="P78" s="26"/>
      <c r="Q78" s="26"/>
      <c r="R78" s="26"/>
      <c r="S78" s="26"/>
      <c r="T78" s="26"/>
    </row>
    <row r="79" spans="1:20" x14ac:dyDescent="0.25">
      <c r="A79" s="3">
        <v>79</v>
      </c>
      <c r="B79" s="3">
        <f>Codestufen!B80</f>
        <v>0</v>
      </c>
      <c r="C79" s="3">
        <f t="shared" si="2"/>
        <v>0</v>
      </c>
      <c r="D79" s="26" t="s">
        <v>54</v>
      </c>
      <c r="E79" s="26">
        <v>28</v>
      </c>
      <c r="F79" s="30" t="s">
        <v>58</v>
      </c>
      <c r="G79" s="25">
        <v>2</v>
      </c>
      <c r="H79" s="26">
        <f>IF(TRIM(F79)="",0,1)</f>
        <v>1</v>
      </c>
      <c r="I79" s="26">
        <f>COUNT(G79:G79)</f>
        <v>1</v>
      </c>
      <c r="J79" s="26">
        <f>IF(I79 &gt;= H79,0,1)</f>
        <v>0</v>
      </c>
      <c r="K79" s="26">
        <f>IF(AND(I79 &gt; 0,H79=0),1,0)</f>
        <v>0</v>
      </c>
      <c r="L79" s="26"/>
      <c r="M79" s="26"/>
      <c r="N79" s="26"/>
      <c r="O79" s="26"/>
      <c r="P79" s="26"/>
      <c r="Q79" s="26"/>
      <c r="R79" s="26"/>
      <c r="S79" s="26"/>
      <c r="T79" s="26"/>
    </row>
    <row r="80" spans="1:20" x14ac:dyDescent="0.25">
      <c r="A80" s="3">
        <v>80</v>
      </c>
      <c r="B80" s="3">
        <f>Codestufen!B81</f>
        <v>0</v>
      </c>
      <c r="C80" s="3">
        <f t="shared" si="2"/>
        <v>0</v>
      </c>
      <c r="D80" s="26" t="s">
        <v>54</v>
      </c>
      <c r="E80" s="26">
        <v>34</v>
      </c>
      <c r="F80" s="30" t="s">
        <v>58</v>
      </c>
      <c r="G80" s="25">
        <v>2</v>
      </c>
      <c r="H80" s="26">
        <f>IF(TRIM(F80)="",0,1)</f>
        <v>1</v>
      </c>
      <c r="I80" s="26">
        <f>COUNT(G80:G80)</f>
        <v>1</v>
      </c>
      <c r="J80" s="26">
        <f>IF(I80 &gt;= H80,0,1)</f>
        <v>0</v>
      </c>
      <c r="K80" s="26">
        <f>IF(AND(I80 &gt; 0,H80=0),1,0)</f>
        <v>0</v>
      </c>
      <c r="L80" s="26"/>
      <c r="M80" s="26"/>
      <c r="N80" s="26"/>
      <c r="O80" s="26"/>
      <c r="P80" s="26"/>
      <c r="Q80" s="26"/>
      <c r="R80" s="26"/>
      <c r="S80" s="26"/>
      <c r="T80" s="26"/>
    </row>
    <row r="81" spans="1:20" x14ac:dyDescent="0.25">
      <c r="A81" s="3">
        <v>81</v>
      </c>
      <c r="B81" s="3">
        <f>Codestufen!B82</f>
        <v>0</v>
      </c>
      <c r="C81" s="3">
        <f t="shared" si="2"/>
        <v>0</v>
      </c>
      <c r="D81" s="26" t="s">
        <v>54</v>
      </c>
      <c r="E81" s="26">
        <v>44</v>
      </c>
      <c r="F81" s="30" t="s">
        <v>58</v>
      </c>
      <c r="G81" s="25">
        <v>2</v>
      </c>
      <c r="H81" s="26">
        <f>IF(TRIM(F81)="",0,1)</f>
        <v>1</v>
      </c>
      <c r="I81" s="26">
        <f>COUNT(G81:G81)</f>
        <v>1</v>
      </c>
      <c r="J81" s="26">
        <f>IF(I81 &gt;= H81,0,1)</f>
        <v>0</v>
      </c>
      <c r="K81" s="26">
        <f>IF(AND(I81 &gt; 0,H81=0),1,0)</f>
        <v>0</v>
      </c>
      <c r="L81" s="26"/>
      <c r="M81" s="26"/>
      <c r="N81" s="26"/>
      <c r="O81" s="26"/>
      <c r="P81" s="26"/>
      <c r="Q81" s="26"/>
      <c r="R81" s="26"/>
      <c r="S81" s="26"/>
      <c r="T81" s="26"/>
    </row>
    <row r="82" spans="1:20" x14ac:dyDescent="0.25">
      <c r="A82" s="3">
        <v>82</v>
      </c>
      <c r="B82" s="3">
        <f>Codestufen!B83</f>
        <v>0</v>
      </c>
      <c r="C82" s="3">
        <f t="shared" si="2"/>
        <v>0</v>
      </c>
      <c r="D82" s="26" t="s">
        <v>54</v>
      </c>
      <c r="E82" s="26">
        <v>52</v>
      </c>
      <c r="F82" s="30" t="s">
        <v>58</v>
      </c>
      <c r="G82" s="25">
        <v>2</v>
      </c>
      <c r="H82" s="26">
        <f>IF(TRIM(F82)="",0,1)</f>
        <v>1</v>
      </c>
      <c r="I82" s="26">
        <f>COUNT(G82:G82)</f>
        <v>1</v>
      </c>
      <c r="J82" s="26">
        <f>IF(I82 &gt;= H82,0,1)</f>
        <v>0</v>
      </c>
      <c r="K82" s="26">
        <f>IF(AND(I82 &gt; 0,H82=0),1,0)</f>
        <v>0</v>
      </c>
      <c r="L82" s="26"/>
      <c r="M82" s="26"/>
      <c r="N82" s="26"/>
      <c r="O82" s="26"/>
      <c r="P82" s="26"/>
      <c r="Q82" s="26"/>
      <c r="R82" s="26"/>
      <c r="S82" s="26"/>
      <c r="T82" s="26"/>
    </row>
    <row r="83" spans="1:20" x14ac:dyDescent="0.25">
      <c r="A83" s="3">
        <v>83</v>
      </c>
      <c r="B83" s="3">
        <f>Codestufen!B84</f>
        <v>0</v>
      </c>
      <c r="C83" s="3">
        <f t="shared" si="2"/>
        <v>0</v>
      </c>
      <c r="D83" s="26" t="s">
        <v>54</v>
      </c>
      <c r="E83" s="26">
        <v>54</v>
      </c>
      <c r="F83" s="30" t="s">
        <v>58</v>
      </c>
      <c r="G83" s="25">
        <v>2</v>
      </c>
      <c r="H83" s="26">
        <f>IF(TRIM(F83)="",0,1)</f>
        <v>1</v>
      </c>
      <c r="I83" s="26">
        <f>COUNT(G83:G83)</f>
        <v>1</v>
      </c>
      <c r="J83" s="26">
        <f>IF(I83 &gt;= H83,0,1)</f>
        <v>0</v>
      </c>
      <c r="K83" s="26">
        <f>IF(AND(I83 &gt; 0,H83=0),1,0)</f>
        <v>0</v>
      </c>
      <c r="L83" s="26"/>
      <c r="M83" s="26"/>
      <c r="N83" s="26"/>
      <c r="O83" s="26"/>
      <c r="P83" s="26"/>
      <c r="Q83" s="26"/>
      <c r="R83" s="26"/>
      <c r="S83" s="26"/>
      <c r="T83" s="26"/>
    </row>
    <row r="84" spans="1:20" x14ac:dyDescent="0.25">
      <c r="A84" s="3">
        <v>84</v>
      </c>
      <c r="B84" s="3">
        <f>Codestufen!B85</f>
        <v>0</v>
      </c>
      <c r="C84" s="3">
        <f t="shared" si="2"/>
        <v>0</v>
      </c>
      <c r="D84" s="26" t="s">
        <v>54</v>
      </c>
      <c r="E84" s="26">
        <v>56</v>
      </c>
      <c r="F84" s="30" t="s">
        <v>58</v>
      </c>
      <c r="G84" s="25">
        <v>2</v>
      </c>
      <c r="H84" s="26">
        <f>IF(TRIM(F84)="",0,1)</f>
        <v>1</v>
      </c>
      <c r="I84" s="26">
        <f>COUNT(G84:G84)</f>
        <v>1</v>
      </c>
      <c r="J84" s="26">
        <f>IF(I84 &gt;= H84,0,1)</f>
        <v>0</v>
      </c>
      <c r="K84" s="26">
        <f>IF(AND(I84 &gt; 0,H84=0),1,0)</f>
        <v>0</v>
      </c>
      <c r="L84" s="26"/>
      <c r="M84" s="26"/>
      <c r="N84" s="26"/>
      <c r="O84" s="26"/>
      <c r="P84" s="26"/>
      <c r="Q84" s="26"/>
      <c r="R84" s="26"/>
      <c r="S84" s="26"/>
      <c r="T84" s="26"/>
    </row>
    <row r="85" spans="1:20" x14ac:dyDescent="0.25">
      <c r="A85" s="3">
        <v>85</v>
      </c>
      <c r="B85" s="3">
        <f>Codestufen!B86</f>
        <v>0</v>
      </c>
      <c r="C85" s="3">
        <f t="shared" si="2"/>
        <v>0</v>
      </c>
      <c r="D85" s="26" t="s">
        <v>54</v>
      </c>
      <c r="E85" s="26">
        <v>57</v>
      </c>
      <c r="F85" s="30" t="s">
        <v>58</v>
      </c>
      <c r="G85" s="25">
        <v>2</v>
      </c>
      <c r="H85" s="26">
        <f>IF(TRIM(F85)="",0,1)</f>
        <v>1</v>
      </c>
      <c r="I85" s="26">
        <f>COUNT(G85:G85)</f>
        <v>1</v>
      </c>
      <c r="J85" s="26">
        <f>IF(I85 &gt;= H85,0,1)</f>
        <v>0</v>
      </c>
      <c r="K85" s="26">
        <f>IF(AND(I85 &gt; 0,H85=0),1,0)</f>
        <v>0</v>
      </c>
      <c r="L85" s="26"/>
      <c r="M85" s="26"/>
      <c r="N85" s="26"/>
      <c r="O85" s="26"/>
      <c r="P85" s="26"/>
      <c r="Q85" s="26"/>
      <c r="R85" s="26"/>
      <c r="S85" s="26"/>
      <c r="T85" s="26"/>
    </row>
    <row r="86" spans="1:20" x14ac:dyDescent="0.25">
      <c r="A86" s="3">
        <v>86</v>
      </c>
      <c r="B86" s="3">
        <f>Codestufen!B87</f>
        <v>0</v>
      </c>
      <c r="C86" s="3">
        <f t="shared" si="2"/>
        <v>0</v>
      </c>
      <c r="D86" s="26" t="s">
        <v>54</v>
      </c>
      <c r="E86" s="26">
        <v>66</v>
      </c>
      <c r="F86" s="30" t="s">
        <v>58</v>
      </c>
      <c r="G86" s="25">
        <v>2</v>
      </c>
      <c r="H86" s="26">
        <f>IF(TRIM(F86)="",0,1)</f>
        <v>1</v>
      </c>
      <c r="I86" s="26">
        <f>COUNT(G86:G86)</f>
        <v>1</v>
      </c>
      <c r="J86" s="26">
        <f>IF(I86 &gt;= H86,0,1)</f>
        <v>0</v>
      </c>
      <c r="K86" s="26">
        <f>IF(AND(I86 &gt; 0,H86=0),1,0)</f>
        <v>0</v>
      </c>
      <c r="L86" s="26"/>
      <c r="M86" s="26"/>
      <c r="N86" s="26"/>
      <c r="O86" s="26"/>
      <c r="P86" s="26"/>
      <c r="Q86" s="26"/>
      <c r="R86" s="26"/>
      <c r="S86" s="26"/>
      <c r="T86" s="26"/>
    </row>
    <row r="87" spans="1:20" x14ac:dyDescent="0.25">
      <c r="A87" s="3">
        <v>87</v>
      </c>
      <c r="B87" s="3">
        <f>Codestufen!B88</f>
        <v>0</v>
      </c>
      <c r="C87" s="3">
        <f t="shared" si="2"/>
        <v>0</v>
      </c>
      <c r="D87" s="26" t="s">
        <v>54</v>
      </c>
      <c r="E87" s="26">
        <v>71</v>
      </c>
      <c r="F87" s="30" t="s">
        <v>58</v>
      </c>
      <c r="G87" s="25">
        <v>2</v>
      </c>
      <c r="H87" s="26">
        <f>IF(TRIM(F87)="",0,1)</f>
        <v>1</v>
      </c>
      <c r="I87" s="26">
        <f>COUNT(G87:G87)</f>
        <v>1</v>
      </c>
      <c r="J87" s="26">
        <f>IF(I87 &gt;= H87,0,1)</f>
        <v>0</v>
      </c>
      <c r="K87" s="26">
        <f>IF(AND(I87 &gt; 0,H87=0),1,0)</f>
        <v>0</v>
      </c>
      <c r="L87" s="26"/>
      <c r="M87" s="26"/>
      <c r="N87" s="26"/>
      <c r="O87" s="26"/>
      <c r="P87" s="26"/>
      <c r="Q87" s="26"/>
      <c r="R87" s="26"/>
      <c r="S87" s="26"/>
      <c r="T87" s="26"/>
    </row>
    <row r="88" spans="1:20" x14ac:dyDescent="0.25">
      <c r="A88" s="3">
        <v>88</v>
      </c>
      <c r="B88" s="3">
        <f>Codestufen!B89</f>
        <v>0</v>
      </c>
      <c r="C88" s="3">
        <f t="shared" si="2"/>
        <v>0</v>
      </c>
      <c r="D88" s="26" t="s">
        <v>54</v>
      </c>
      <c r="E88" s="26">
        <v>77</v>
      </c>
      <c r="F88" s="30" t="s">
        <v>58</v>
      </c>
      <c r="G88" s="25">
        <v>2</v>
      </c>
      <c r="H88" s="26">
        <f>IF(TRIM(F88)="",0,1)</f>
        <v>1</v>
      </c>
      <c r="I88" s="26">
        <f>COUNT(G88:G88)</f>
        <v>1</v>
      </c>
      <c r="J88" s="26">
        <f>IF(I88 &gt;= H88,0,1)</f>
        <v>0</v>
      </c>
      <c r="K88" s="26">
        <f>IF(AND(I88 &gt; 0,H88=0),1,0)</f>
        <v>0</v>
      </c>
      <c r="L88" s="26"/>
      <c r="M88" s="26"/>
      <c r="N88" s="26"/>
      <c r="O88" s="26"/>
      <c r="P88" s="26"/>
      <c r="Q88" s="26"/>
      <c r="R88" s="26"/>
      <c r="S88" s="26"/>
      <c r="T88" s="26"/>
    </row>
    <row r="89" spans="1:20" x14ac:dyDescent="0.25">
      <c r="A89" s="3">
        <v>89</v>
      </c>
      <c r="B89" s="3">
        <f>Codestufen!B90</f>
        <v>0</v>
      </c>
      <c r="C89" s="3">
        <f t="shared" si="2"/>
        <v>0</v>
      </c>
      <c r="D89" s="26" t="s">
        <v>54</v>
      </c>
      <c r="E89" s="26">
        <v>83</v>
      </c>
      <c r="F89" s="30" t="s">
        <v>58</v>
      </c>
      <c r="G89" s="25">
        <v>2</v>
      </c>
      <c r="H89" s="26">
        <f>IF(TRIM(F89)="",0,1)</f>
        <v>1</v>
      </c>
      <c r="I89" s="26">
        <f>COUNT(G89:G89)</f>
        <v>1</v>
      </c>
      <c r="J89" s="26">
        <f>IF(I89 &gt;= H89,0,1)</f>
        <v>0</v>
      </c>
      <c r="K89" s="26">
        <f>IF(AND(I89 &gt; 0,H89=0),1,0)</f>
        <v>0</v>
      </c>
      <c r="L89" s="26"/>
      <c r="M89" s="26"/>
      <c r="N89" s="26"/>
      <c r="O89" s="26"/>
      <c r="P89" s="26"/>
      <c r="Q89" s="26"/>
      <c r="R89" s="26"/>
      <c r="S89" s="26"/>
      <c r="T89" s="26"/>
    </row>
    <row r="90" spans="1:20" x14ac:dyDescent="0.25">
      <c r="A90" s="3">
        <v>90</v>
      </c>
      <c r="B90" s="3">
        <f>Codestufen!B91</f>
        <v>0</v>
      </c>
      <c r="C90" s="3">
        <f t="shared" si="2"/>
        <v>0</v>
      </c>
      <c r="D90" s="26" t="s">
        <v>54</v>
      </c>
      <c r="E90" s="26">
        <v>85</v>
      </c>
      <c r="F90" s="30" t="s">
        <v>58</v>
      </c>
      <c r="G90" s="25">
        <v>2</v>
      </c>
      <c r="H90" s="26">
        <f>IF(TRIM(F90)="",0,1)</f>
        <v>1</v>
      </c>
      <c r="I90" s="26">
        <f>COUNT(G90:G90)</f>
        <v>1</v>
      </c>
      <c r="J90" s="26">
        <f>IF(I90 &gt;= H90,0,1)</f>
        <v>0</v>
      </c>
      <c r="K90" s="26">
        <f>IF(AND(I90 &gt; 0,H90=0),1,0)</f>
        <v>0</v>
      </c>
      <c r="L90" s="26"/>
      <c r="M90" s="26"/>
      <c r="N90" s="26"/>
      <c r="O90" s="26"/>
      <c r="P90" s="26"/>
      <c r="Q90" s="26"/>
      <c r="R90" s="26"/>
      <c r="S90" s="26"/>
      <c r="T90" s="26"/>
    </row>
    <row r="91" spans="1:20" x14ac:dyDescent="0.25">
      <c r="A91" s="3">
        <v>91</v>
      </c>
      <c r="B91" s="3">
        <f>Codestufen!B92</f>
        <v>0</v>
      </c>
      <c r="C91" s="3">
        <f t="shared" si="2"/>
        <v>0</v>
      </c>
      <c r="D91" s="26" t="s">
        <v>54</v>
      </c>
      <c r="E91" s="26">
        <v>90</v>
      </c>
      <c r="F91" s="30" t="s">
        <v>58</v>
      </c>
      <c r="G91" s="25">
        <v>2</v>
      </c>
      <c r="H91" s="26">
        <f>IF(TRIM(F91)="",0,1)</f>
        <v>1</v>
      </c>
      <c r="I91" s="26">
        <f>COUNT(G91:G91)</f>
        <v>1</v>
      </c>
      <c r="J91" s="26">
        <f>IF(I91 &gt;= H91,0,1)</f>
        <v>0</v>
      </c>
      <c r="K91" s="26">
        <f>IF(AND(I91 &gt; 0,H91=0),1,0)</f>
        <v>0</v>
      </c>
      <c r="L91" s="26"/>
      <c r="M91" s="26"/>
      <c r="N91" s="26"/>
      <c r="O91" s="26"/>
      <c r="P91" s="26"/>
      <c r="Q91" s="26"/>
      <c r="R91" s="26"/>
      <c r="S91" s="26"/>
      <c r="T91" s="26"/>
    </row>
    <row r="92" spans="1:20" x14ac:dyDescent="0.25">
      <c r="A92" s="3">
        <v>92</v>
      </c>
      <c r="B92" s="3">
        <f>Codestufen!B93</f>
        <v>0</v>
      </c>
      <c r="C92" s="3">
        <f t="shared" si="2"/>
        <v>0</v>
      </c>
      <c r="D92" s="26" t="s">
        <v>54</v>
      </c>
      <c r="E92" s="26">
        <v>94</v>
      </c>
      <c r="F92" s="30" t="s">
        <v>58</v>
      </c>
      <c r="G92" s="25">
        <v>2</v>
      </c>
      <c r="H92" s="26">
        <f>IF(TRIM(F92)="",0,1)</f>
        <v>1</v>
      </c>
      <c r="I92" s="26">
        <f>COUNT(G92:G92)</f>
        <v>1</v>
      </c>
      <c r="J92" s="26">
        <f>IF(I92 &gt;= H92,0,1)</f>
        <v>0</v>
      </c>
      <c r="K92" s="26">
        <f>IF(AND(I92 &gt; 0,H92=0),1,0)</f>
        <v>0</v>
      </c>
      <c r="L92" s="26"/>
      <c r="M92" s="26"/>
      <c r="N92" s="26"/>
      <c r="O92" s="26"/>
      <c r="P92" s="26"/>
      <c r="Q92" s="26"/>
      <c r="R92" s="26"/>
      <c r="S92" s="26"/>
      <c r="T92" s="26"/>
    </row>
    <row r="93" spans="1:20" x14ac:dyDescent="0.25">
      <c r="A93" s="3">
        <v>93</v>
      </c>
      <c r="B93" s="3">
        <f>Codestufen!B94</f>
        <v>0</v>
      </c>
      <c r="C93" s="3">
        <f t="shared" si="2"/>
        <v>0</v>
      </c>
      <c r="D93" s="26" t="s">
        <v>54</v>
      </c>
      <c r="E93" s="26">
        <v>96</v>
      </c>
      <c r="F93" s="30" t="s">
        <v>58</v>
      </c>
      <c r="G93" s="25">
        <v>2</v>
      </c>
      <c r="H93" s="26">
        <f>IF(TRIM(F93)="",0,1)</f>
        <v>1</v>
      </c>
      <c r="I93" s="26">
        <f>COUNT(G93:G93)</f>
        <v>1</v>
      </c>
      <c r="J93" s="26">
        <f>IF(I93 &gt;= H93,0,1)</f>
        <v>0</v>
      </c>
      <c r="K93" s="26">
        <f>IF(AND(I93 &gt; 0,H93=0),1,0)</f>
        <v>0</v>
      </c>
      <c r="L93" s="26"/>
      <c r="M93" s="26"/>
      <c r="N93" s="26"/>
      <c r="O93" s="26"/>
      <c r="P93" s="26"/>
      <c r="Q93" s="26"/>
      <c r="R93" s="26"/>
      <c r="S93" s="26"/>
      <c r="T93" s="26"/>
    </row>
    <row r="94" spans="1:20" x14ac:dyDescent="0.25">
      <c r="A94" s="3">
        <v>94</v>
      </c>
      <c r="B94" s="3">
        <f>Codestufen!B95</f>
        <v>0</v>
      </c>
      <c r="C94" s="3">
        <f t="shared" si="2"/>
        <v>0</v>
      </c>
      <c r="D94" s="26" t="s">
        <v>54</v>
      </c>
      <c r="E94" s="26">
        <v>2</v>
      </c>
      <c r="F94" s="30" t="s">
        <v>56</v>
      </c>
      <c r="G94" s="25">
        <v>3</v>
      </c>
      <c r="H94" s="26">
        <f>IF(TRIM(F94)="",0,1)</f>
        <v>1</v>
      </c>
      <c r="I94" s="26">
        <f>COUNT(G94:G94)</f>
        <v>1</v>
      </c>
      <c r="J94" s="26">
        <f>IF(I94 &gt;= H94,0,1)</f>
        <v>0</v>
      </c>
      <c r="K94" s="26">
        <f>IF(AND(I94 &gt; 0,H94=0),1,0)</f>
        <v>0</v>
      </c>
      <c r="L94" s="26"/>
      <c r="M94" s="26"/>
      <c r="N94" s="26"/>
      <c r="O94" s="26"/>
      <c r="P94" s="26"/>
      <c r="Q94" s="26"/>
      <c r="R94" s="26"/>
      <c r="S94" s="26"/>
      <c r="T94" s="26"/>
    </row>
    <row r="95" spans="1:20" x14ac:dyDescent="0.25">
      <c r="A95" s="3">
        <v>95</v>
      </c>
      <c r="B95" s="3">
        <f>Codestufen!B96</f>
        <v>0</v>
      </c>
      <c r="C95" s="3">
        <f t="shared" si="2"/>
        <v>0</v>
      </c>
      <c r="D95" s="26" t="s">
        <v>54</v>
      </c>
      <c r="E95" s="26">
        <v>15</v>
      </c>
      <c r="F95" s="30" t="s">
        <v>56</v>
      </c>
      <c r="G95" s="25">
        <v>3</v>
      </c>
      <c r="H95" s="26">
        <f>IF(TRIM(F95)="",0,1)</f>
        <v>1</v>
      </c>
      <c r="I95" s="26">
        <f>COUNT(G95:G95)</f>
        <v>1</v>
      </c>
      <c r="J95" s="26">
        <f>IF(I95 &gt;= H95,0,1)</f>
        <v>0</v>
      </c>
      <c r="K95" s="26">
        <f>IF(AND(I95 &gt; 0,H95=0),1,0)</f>
        <v>0</v>
      </c>
      <c r="L95" s="26"/>
      <c r="M95" s="26"/>
      <c r="N95" s="26"/>
      <c r="O95" s="26"/>
      <c r="P95" s="26"/>
      <c r="Q95" s="26"/>
      <c r="R95" s="26"/>
      <c r="S95" s="26"/>
      <c r="T95" s="26"/>
    </row>
    <row r="96" spans="1:20" x14ac:dyDescent="0.25">
      <c r="A96" s="3">
        <v>96</v>
      </c>
      <c r="B96" s="3">
        <f>Codestufen!B97</f>
        <v>0</v>
      </c>
      <c r="C96" s="3">
        <f t="shared" si="2"/>
        <v>0</v>
      </c>
      <c r="D96" s="26" t="s">
        <v>54</v>
      </c>
      <c r="E96" s="26">
        <v>21</v>
      </c>
      <c r="F96" s="30" t="s">
        <v>56</v>
      </c>
      <c r="G96" s="25">
        <v>3</v>
      </c>
      <c r="H96" s="26">
        <f>IF(TRIM(F96)="",0,1)</f>
        <v>1</v>
      </c>
      <c r="I96" s="26">
        <f>COUNT(G96:G96)</f>
        <v>1</v>
      </c>
      <c r="J96" s="26">
        <f>IF(I96 &gt;= H96,0,1)</f>
        <v>0</v>
      </c>
      <c r="K96" s="26">
        <f>IF(AND(I96 &gt; 0,H96=0),1,0)</f>
        <v>0</v>
      </c>
      <c r="L96" s="26"/>
      <c r="M96" s="26"/>
      <c r="N96" s="26"/>
      <c r="O96" s="26"/>
      <c r="P96" s="26"/>
      <c r="Q96" s="26"/>
      <c r="R96" s="26"/>
      <c r="S96" s="26"/>
      <c r="T96" s="26"/>
    </row>
    <row r="97" spans="1:20" x14ac:dyDescent="0.25">
      <c r="A97" s="3">
        <v>97</v>
      </c>
      <c r="B97" s="3">
        <f>Codestufen!B98</f>
        <v>0</v>
      </c>
      <c r="C97" s="3">
        <f t="shared" si="2"/>
        <v>0</v>
      </c>
      <c r="D97" s="26" t="s">
        <v>54</v>
      </c>
      <c r="E97" s="26">
        <v>27</v>
      </c>
      <c r="F97" s="30" t="s">
        <v>56</v>
      </c>
      <c r="G97" s="25">
        <v>3</v>
      </c>
      <c r="H97" s="26">
        <f>IF(TRIM(F97)="",0,1)</f>
        <v>1</v>
      </c>
      <c r="I97" s="26">
        <f>COUNT(G97:G97)</f>
        <v>1</v>
      </c>
      <c r="J97" s="26">
        <f>IF(I97 &gt;= H97,0,1)</f>
        <v>0</v>
      </c>
      <c r="K97" s="26">
        <f>IF(AND(I97 &gt; 0,H97=0),1,0)</f>
        <v>0</v>
      </c>
      <c r="L97" s="26"/>
      <c r="M97" s="26"/>
      <c r="N97" s="26"/>
      <c r="O97" s="26"/>
      <c r="P97" s="26"/>
      <c r="Q97" s="26"/>
      <c r="R97" s="26"/>
      <c r="S97" s="26"/>
      <c r="T97" s="26"/>
    </row>
    <row r="98" spans="1:20" x14ac:dyDescent="0.25">
      <c r="A98" s="3">
        <v>98</v>
      </c>
      <c r="B98" s="3">
        <f>Codestufen!B99</f>
        <v>0</v>
      </c>
      <c r="C98" s="3">
        <f t="shared" si="2"/>
        <v>0</v>
      </c>
      <c r="D98" s="26" t="s">
        <v>54</v>
      </c>
      <c r="E98" s="26">
        <v>37</v>
      </c>
      <c r="F98" s="30" t="s">
        <v>56</v>
      </c>
      <c r="G98" s="25">
        <v>3</v>
      </c>
      <c r="H98" s="26">
        <f>IF(TRIM(F98)="",0,1)</f>
        <v>1</v>
      </c>
      <c r="I98" s="26">
        <f>COUNT(G98:G98)</f>
        <v>1</v>
      </c>
      <c r="J98" s="26">
        <f>IF(I98 &gt;= H98,0,1)</f>
        <v>0</v>
      </c>
      <c r="K98" s="26">
        <f>IF(AND(I98 &gt; 0,H98=0),1,0)</f>
        <v>0</v>
      </c>
      <c r="L98" s="26"/>
      <c r="M98" s="26"/>
      <c r="N98" s="26"/>
      <c r="O98" s="26"/>
      <c r="P98" s="26"/>
      <c r="Q98" s="26"/>
      <c r="R98" s="26"/>
      <c r="S98" s="26"/>
      <c r="T98" s="26"/>
    </row>
    <row r="99" spans="1:20" x14ac:dyDescent="0.25">
      <c r="A99" s="3">
        <v>99</v>
      </c>
      <c r="B99" s="3">
        <f>Codestufen!B100</f>
        <v>0</v>
      </c>
      <c r="C99" s="3">
        <f t="shared" si="2"/>
        <v>0</v>
      </c>
      <c r="D99" s="26" t="s">
        <v>54</v>
      </c>
      <c r="E99" s="26">
        <v>40</v>
      </c>
      <c r="F99" s="30" t="s">
        <v>56</v>
      </c>
      <c r="G99" s="25">
        <v>3</v>
      </c>
      <c r="H99" s="26">
        <f>IF(TRIM(F99)="",0,1)</f>
        <v>1</v>
      </c>
      <c r="I99" s="26">
        <f>COUNT(G99:G99)</f>
        <v>1</v>
      </c>
      <c r="J99" s="26">
        <f>IF(I99 &gt;= H99,0,1)</f>
        <v>0</v>
      </c>
      <c r="K99" s="26">
        <f>IF(AND(I99 &gt; 0,H99=0),1,0)</f>
        <v>0</v>
      </c>
      <c r="L99" s="26"/>
      <c r="M99" s="26"/>
      <c r="N99" s="26"/>
      <c r="O99" s="26"/>
      <c r="P99" s="26"/>
      <c r="Q99" s="26"/>
      <c r="R99" s="26"/>
      <c r="S99" s="26"/>
      <c r="T99" s="26"/>
    </row>
    <row r="100" spans="1:20" x14ac:dyDescent="0.25">
      <c r="A100" s="3">
        <v>100</v>
      </c>
      <c r="B100" s="3">
        <f>Codestufen!B101</f>
        <v>0</v>
      </c>
      <c r="C100" s="3">
        <f t="shared" si="2"/>
        <v>0</v>
      </c>
      <c r="D100" s="26" t="s">
        <v>54</v>
      </c>
      <c r="E100" s="26">
        <v>63</v>
      </c>
      <c r="F100" s="30" t="s">
        <v>56</v>
      </c>
      <c r="G100" s="25">
        <v>3</v>
      </c>
      <c r="H100" s="26">
        <f>IF(TRIM(F100)="",0,1)</f>
        <v>1</v>
      </c>
      <c r="I100" s="26">
        <f>COUNT(G100:G100)</f>
        <v>1</v>
      </c>
      <c r="J100" s="26">
        <f>IF(I100 &gt;= H100,0,1)</f>
        <v>0</v>
      </c>
      <c r="K100" s="26">
        <f>IF(AND(I100 &gt; 0,H100=0),1,0)</f>
        <v>0</v>
      </c>
      <c r="L100" s="26"/>
      <c r="M100" s="26"/>
      <c r="N100" s="26"/>
      <c r="O100" s="26"/>
      <c r="P100" s="26"/>
      <c r="Q100" s="26"/>
      <c r="R100" s="26"/>
      <c r="S100" s="26"/>
      <c r="T100" s="26"/>
    </row>
    <row r="101" spans="1:20" x14ac:dyDescent="0.25">
      <c r="D101" s="26" t="s">
        <v>54</v>
      </c>
      <c r="E101" s="26">
        <v>69</v>
      </c>
      <c r="F101" s="30" t="s">
        <v>56</v>
      </c>
      <c r="G101" s="25">
        <v>3</v>
      </c>
      <c r="H101" s="26">
        <f>IF(TRIM(F101)="",0,1)</f>
        <v>1</v>
      </c>
      <c r="I101" s="26">
        <f>COUNT(G101:G101)</f>
        <v>1</v>
      </c>
      <c r="J101" s="26">
        <f>IF(I101 &gt;= H101,0,1)</f>
        <v>0</v>
      </c>
      <c r="K101" s="26">
        <f>IF(AND(I101 &gt; 0,H101=0),1,0)</f>
        <v>0</v>
      </c>
      <c r="L101" s="26"/>
      <c r="M101" s="26"/>
      <c r="N101" s="26"/>
      <c r="O101" s="26"/>
      <c r="P101" s="26"/>
      <c r="Q101" s="26"/>
      <c r="R101" s="26"/>
      <c r="S101" s="26"/>
      <c r="T101" s="26"/>
    </row>
    <row r="102" spans="1:20" x14ac:dyDescent="0.25">
      <c r="D102" s="26" t="s">
        <v>54</v>
      </c>
      <c r="E102" s="26">
        <v>76</v>
      </c>
      <c r="F102" s="30" t="s">
        <v>56</v>
      </c>
      <c r="G102" s="25">
        <v>3</v>
      </c>
      <c r="H102" s="26">
        <f>IF(TRIM(F102)="",0,1)</f>
        <v>1</v>
      </c>
      <c r="I102" s="26">
        <f>COUNT(G102:G102)</f>
        <v>1</v>
      </c>
      <c r="J102" s="26">
        <f>IF(I102 &gt;= H102,0,1)</f>
        <v>0</v>
      </c>
      <c r="K102" s="26">
        <f>IF(AND(I102 &gt; 0,H102=0),1,0)</f>
        <v>0</v>
      </c>
      <c r="L102" s="26"/>
      <c r="M102" s="26"/>
      <c r="N102" s="26"/>
      <c r="O102" s="26"/>
      <c r="P102" s="26"/>
      <c r="Q102" s="26"/>
      <c r="R102" s="26"/>
      <c r="S102" s="26"/>
      <c r="T102" s="26"/>
    </row>
    <row r="103" spans="1:20" x14ac:dyDescent="0.25">
      <c r="D103" s="26" t="s">
        <v>54</v>
      </c>
      <c r="E103" s="26">
        <v>99</v>
      </c>
      <c r="F103" s="30" t="s">
        <v>56</v>
      </c>
      <c r="G103" s="25">
        <v>3</v>
      </c>
      <c r="H103" s="26">
        <f>IF(TRIM(F103)="",0,1)</f>
        <v>1</v>
      </c>
      <c r="I103" s="26">
        <f>COUNT(G103:G103)</f>
        <v>1</v>
      </c>
      <c r="J103" s="26">
        <f>IF(I103 &gt;= H103,0,1)</f>
        <v>0</v>
      </c>
      <c r="K103" s="26">
        <f>IF(AND(I103 &gt; 0,H103=0),1,0)</f>
        <v>0</v>
      </c>
      <c r="L103" s="26"/>
      <c r="M103" s="26"/>
      <c r="N103" s="26"/>
      <c r="O103" s="26"/>
      <c r="P103" s="26"/>
      <c r="Q103" s="26"/>
      <c r="R103" s="26"/>
      <c r="S103" s="26"/>
      <c r="T103" s="26"/>
    </row>
    <row r="104" spans="1:20" x14ac:dyDescent="0.25">
      <c r="D104" s="26" t="s">
        <v>54</v>
      </c>
      <c r="E104" s="26">
        <v>1</v>
      </c>
      <c r="F104" s="30" t="s">
        <v>55</v>
      </c>
      <c r="G104" s="25">
        <v>1</v>
      </c>
      <c r="H104" s="26">
        <f>IF(TRIM(F104)="",0,1)</f>
        <v>1</v>
      </c>
      <c r="I104" s="26">
        <f>COUNT(G104:G104)</f>
        <v>1</v>
      </c>
      <c r="J104" s="26">
        <f>IF(I104 &gt;= H104,0,1)</f>
        <v>0</v>
      </c>
      <c r="K104" s="26">
        <f>IF(AND(I104 &gt; 0,H104=0),1,0)</f>
        <v>0</v>
      </c>
      <c r="L104" s="26"/>
      <c r="M104" s="26"/>
      <c r="N104" s="26"/>
      <c r="O104" s="26"/>
      <c r="P104" s="26"/>
      <c r="Q104" s="26"/>
      <c r="R104" s="26"/>
      <c r="S104" s="26"/>
      <c r="T104" s="26"/>
    </row>
    <row r="105" spans="1:20" x14ac:dyDescent="0.25">
      <c r="D105" s="26" t="s">
        <v>54</v>
      </c>
      <c r="E105" s="26">
        <v>10</v>
      </c>
      <c r="F105" s="30" t="s">
        <v>55</v>
      </c>
      <c r="G105" s="25">
        <v>1</v>
      </c>
      <c r="H105" s="26">
        <f>IF(TRIM(F105)="",0,1)</f>
        <v>1</v>
      </c>
      <c r="I105" s="26">
        <f>COUNT(G105:G105)</f>
        <v>1</v>
      </c>
      <c r="J105" s="26">
        <f>IF(I105 &gt;= H105,0,1)</f>
        <v>0</v>
      </c>
      <c r="K105" s="26">
        <f>IF(AND(I105 &gt; 0,H105=0),1,0)</f>
        <v>0</v>
      </c>
      <c r="L105" s="26"/>
      <c r="M105" s="26"/>
      <c r="N105" s="26"/>
      <c r="O105" s="26"/>
      <c r="P105" s="26"/>
      <c r="Q105" s="26"/>
      <c r="R105" s="26"/>
      <c r="S105" s="26"/>
      <c r="T105" s="26"/>
    </row>
    <row r="106" spans="1:20" x14ac:dyDescent="0.25">
      <c r="D106" s="26" t="s">
        <v>54</v>
      </c>
      <c r="E106" s="26">
        <v>16</v>
      </c>
      <c r="F106" s="30" t="s">
        <v>55</v>
      </c>
      <c r="G106" s="25">
        <v>1</v>
      </c>
      <c r="H106" s="26">
        <f>IF(TRIM(F106)="",0,1)</f>
        <v>1</v>
      </c>
      <c r="I106" s="26">
        <f>COUNT(G106:G106)</f>
        <v>1</v>
      </c>
      <c r="J106" s="26">
        <f>IF(I106 &gt;= H106,0,1)</f>
        <v>0</v>
      </c>
      <c r="K106" s="26">
        <f>IF(AND(I106 &gt; 0,H106=0),1,0)</f>
        <v>0</v>
      </c>
      <c r="L106" s="26"/>
      <c r="M106" s="26"/>
      <c r="N106" s="26"/>
      <c r="O106" s="26"/>
      <c r="P106" s="26"/>
      <c r="Q106" s="26"/>
      <c r="R106" s="26"/>
      <c r="S106" s="26"/>
      <c r="T106" s="26"/>
    </row>
    <row r="107" spans="1:20" x14ac:dyDescent="0.25">
      <c r="D107" s="26" t="s">
        <v>54</v>
      </c>
      <c r="E107" s="26">
        <v>33</v>
      </c>
      <c r="F107" s="30" t="s">
        <v>55</v>
      </c>
      <c r="G107" s="25">
        <v>1</v>
      </c>
      <c r="H107" s="26">
        <f>IF(TRIM(F107)="",0,1)</f>
        <v>1</v>
      </c>
      <c r="I107" s="26">
        <f>COUNT(G107:G107)</f>
        <v>1</v>
      </c>
      <c r="J107" s="26">
        <f>IF(I107 &gt;= H107,0,1)</f>
        <v>0</v>
      </c>
      <c r="K107" s="26">
        <f>IF(AND(I107 &gt; 0,H107=0),1,0)</f>
        <v>0</v>
      </c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1:20" x14ac:dyDescent="0.25">
      <c r="D108" s="26" t="s">
        <v>54</v>
      </c>
      <c r="E108" s="26">
        <v>41</v>
      </c>
      <c r="F108" s="30" t="s">
        <v>55</v>
      </c>
      <c r="G108" s="25">
        <v>1</v>
      </c>
      <c r="H108" s="26">
        <f>IF(TRIM(F108)="",0,1)</f>
        <v>1</v>
      </c>
      <c r="I108" s="26">
        <f>COUNT(G108:G108)</f>
        <v>1</v>
      </c>
      <c r="J108" s="26">
        <f>IF(I108 &gt;= H108,0,1)</f>
        <v>0</v>
      </c>
      <c r="K108" s="26">
        <f>IF(AND(I108 &gt; 0,H108=0),1,0)</f>
        <v>0</v>
      </c>
      <c r="L108" s="26"/>
      <c r="M108" s="26"/>
      <c r="N108" s="26"/>
      <c r="O108" s="26"/>
      <c r="P108" s="26"/>
      <c r="Q108" s="26"/>
      <c r="R108" s="26"/>
      <c r="S108" s="26"/>
      <c r="T108" s="26"/>
    </row>
    <row r="109" spans="1:20" x14ac:dyDescent="0.25">
      <c r="D109" s="26" t="s">
        <v>54</v>
      </c>
      <c r="E109" s="26">
        <v>42</v>
      </c>
      <c r="F109" s="30" t="s">
        <v>55</v>
      </c>
      <c r="G109" s="25">
        <v>1</v>
      </c>
      <c r="H109" s="26">
        <f>IF(TRIM(F109)="",0,1)</f>
        <v>1</v>
      </c>
      <c r="I109" s="26">
        <f>COUNT(G109:G109)</f>
        <v>1</v>
      </c>
      <c r="J109" s="26">
        <f>IF(I109 &gt;= H109,0,1)</f>
        <v>0</v>
      </c>
      <c r="K109" s="26">
        <f>IF(AND(I109 &gt; 0,H109=0),1,0)</f>
        <v>0</v>
      </c>
      <c r="L109" s="26"/>
      <c r="M109" s="26"/>
      <c r="N109" s="26"/>
      <c r="O109" s="26"/>
      <c r="P109" s="26"/>
      <c r="Q109" s="26"/>
      <c r="R109" s="26"/>
      <c r="S109" s="26"/>
      <c r="T109" s="26"/>
    </row>
    <row r="110" spans="1:20" x14ac:dyDescent="0.25">
      <c r="D110" s="26" t="s">
        <v>54</v>
      </c>
      <c r="E110" s="26">
        <v>68</v>
      </c>
      <c r="F110" s="30" t="s">
        <v>55</v>
      </c>
      <c r="G110" s="25">
        <v>1</v>
      </c>
      <c r="H110" s="26">
        <f>IF(TRIM(F110)="",0,1)</f>
        <v>1</v>
      </c>
      <c r="I110" s="26">
        <f>COUNT(G110:G110)</f>
        <v>1</v>
      </c>
      <c r="J110" s="26">
        <f>IF(I110 &gt;= H110,0,1)</f>
        <v>0</v>
      </c>
      <c r="K110" s="26">
        <f>IF(AND(I110 &gt; 0,H110=0),1,0)</f>
        <v>0</v>
      </c>
      <c r="L110" s="26"/>
      <c r="M110" s="26"/>
      <c r="N110" s="26"/>
      <c r="O110" s="26"/>
      <c r="P110" s="26"/>
      <c r="Q110" s="26"/>
      <c r="R110" s="26"/>
      <c r="S110" s="26"/>
      <c r="T110" s="26"/>
    </row>
    <row r="111" spans="1:20" x14ac:dyDescent="0.25">
      <c r="D111" s="26" t="s">
        <v>54</v>
      </c>
      <c r="E111" s="26">
        <v>75</v>
      </c>
      <c r="F111" s="30" t="s">
        <v>55</v>
      </c>
      <c r="G111" s="25">
        <v>1</v>
      </c>
      <c r="H111" s="26">
        <f>IF(TRIM(F111)="",0,1)</f>
        <v>1</v>
      </c>
      <c r="I111" s="26">
        <f>COUNT(G111:G111)</f>
        <v>1</v>
      </c>
      <c r="J111" s="26">
        <f>IF(I111 &gt;= H111,0,1)</f>
        <v>0</v>
      </c>
      <c r="K111" s="26">
        <f>IF(AND(I111 &gt; 0,H111=0),1,0)</f>
        <v>0</v>
      </c>
      <c r="L111" s="26"/>
      <c r="M111" s="26"/>
      <c r="N111" s="26"/>
      <c r="O111" s="26"/>
      <c r="P111" s="26"/>
      <c r="Q111" s="26"/>
      <c r="R111" s="26"/>
      <c r="S111" s="26"/>
      <c r="T111" s="26"/>
    </row>
    <row r="112" spans="1:20" x14ac:dyDescent="0.25">
      <c r="D112" s="26" t="s">
        <v>54</v>
      </c>
      <c r="E112" s="26">
        <v>82</v>
      </c>
      <c r="F112" s="30" t="s">
        <v>55</v>
      </c>
      <c r="G112" s="25">
        <v>1</v>
      </c>
      <c r="H112" s="26">
        <f>IF(TRIM(F112)="",0,1)</f>
        <v>1</v>
      </c>
      <c r="I112" s="26">
        <f>COUNT(G112:G112)</f>
        <v>1</v>
      </c>
      <c r="J112" s="26">
        <f>IF(I112 &gt;= H112,0,1)</f>
        <v>0</v>
      </c>
      <c r="K112" s="26">
        <f>IF(AND(I112 &gt; 0,H112=0),1,0)</f>
        <v>0</v>
      </c>
      <c r="L112" s="26"/>
      <c r="M112" s="26"/>
      <c r="N112" s="26"/>
      <c r="O112" s="26"/>
      <c r="P112" s="26"/>
      <c r="Q112" s="26"/>
      <c r="R112" s="26"/>
      <c r="S112" s="26"/>
      <c r="T112" s="26"/>
    </row>
    <row r="113" spans="4:20" x14ac:dyDescent="0.25">
      <c r="D113" s="26" t="s">
        <v>54</v>
      </c>
      <c r="E113" s="26">
        <v>86</v>
      </c>
      <c r="F113" s="30" t="s">
        <v>55</v>
      </c>
      <c r="G113" s="25">
        <v>1</v>
      </c>
      <c r="H113" s="26">
        <f>IF(TRIM(F113)="",0,1)</f>
        <v>1</v>
      </c>
      <c r="I113" s="26">
        <f>COUNT(G113:G113)</f>
        <v>1</v>
      </c>
      <c r="J113" s="26">
        <f>IF(I113 &gt;= H113,0,1)</f>
        <v>0</v>
      </c>
      <c r="K113" s="26">
        <f>IF(AND(I113 &gt; 0,H113=0),1,0)</f>
        <v>0</v>
      </c>
      <c r="L113" s="26"/>
      <c r="M113" s="26"/>
      <c r="N113" s="26"/>
      <c r="O113" s="26"/>
      <c r="P113" s="26"/>
      <c r="Q113" s="26"/>
      <c r="R113" s="26"/>
      <c r="S113" s="26"/>
      <c r="T113" s="26"/>
    </row>
    <row r="114" spans="4:20" x14ac:dyDescent="0.25">
      <c r="D114" s="26" t="s">
        <v>54</v>
      </c>
      <c r="E114" s="26">
        <v>93</v>
      </c>
      <c r="F114" s="30" t="s">
        <v>55</v>
      </c>
      <c r="G114" s="25">
        <v>1</v>
      </c>
      <c r="H114" s="26">
        <f>IF(TRIM(F114)="",0,1)</f>
        <v>1</v>
      </c>
      <c r="I114" s="26">
        <f>COUNT(G114:G114)</f>
        <v>1</v>
      </c>
      <c r="J114" s="26">
        <f>IF(I114 &gt;= H114,0,1)</f>
        <v>0</v>
      </c>
      <c r="K114" s="26">
        <f>IF(AND(I114 &gt; 0,H114=0),1,0)</f>
        <v>0</v>
      </c>
      <c r="L114" s="26"/>
      <c r="M114" s="26"/>
      <c r="N114" s="26"/>
      <c r="O114" s="26"/>
      <c r="P114" s="26"/>
      <c r="Q114" s="26"/>
      <c r="R114" s="26"/>
      <c r="S114" s="26"/>
      <c r="T114" s="26"/>
    </row>
    <row r="115" spans="4:20" x14ac:dyDescent="0.25">
      <c r="D115" s="26" t="s">
        <v>54</v>
      </c>
      <c r="E115" s="26">
        <v>11</v>
      </c>
      <c r="F115" s="30" t="s">
        <v>62</v>
      </c>
      <c r="G115" s="25">
        <v>2</v>
      </c>
      <c r="H115" s="26">
        <f>IF(TRIM(F115)="",0,1)</f>
        <v>1</v>
      </c>
      <c r="I115" s="26">
        <f>COUNT(G115:G115)</f>
        <v>1</v>
      </c>
      <c r="J115" s="26">
        <f>IF(I115 &gt;= H115,0,1)</f>
        <v>0</v>
      </c>
      <c r="K115" s="26">
        <f>IF(AND(I115 &gt; 0,H115=0),1,0)</f>
        <v>0</v>
      </c>
      <c r="L115" s="26"/>
      <c r="M115" s="26"/>
      <c r="N115" s="26"/>
      <c r="O115" s="26"/>
      <c r="P115" s="26"/>
      <c r="Q115" s="26"/>
      <c r="R115" s="26"/>
      <c r="S115" s="26"/>
      <c r="T115" s="26"/>
    </row>
    <row r="116" spans="4:20" x14ac:dyDescent="0.25">
      <c r="D116" s="26" t="s">
        <v>54</v>
      </c>
      <c r="E116" s="26">
        <v>20</v>
      </c>
      <c r="F116" s="30" t="s">
        <v>62</v>
      </c>
      <c r="G116" s="25">
        <v>2</v>
      </c>
      <c r="H116" s="26">
        <f>IF(TRIM(F116)="",0,1)</f>
        <v>1</v>
      </c>
      <c r="I116" s="26">
        <f>COUNT(G116:G116)</f>
        <v>1</v>
      </c>
      <c r="J116" s="26">
        <f>IF(I116 &gt;= H116,0,1)</f>
        <v>0</v>
      </c>
      <c r="K116" s="26">
        <f>IF(AND(I116 &gt; 0,H116=0),1,0)</f>
        <v>0</v>
      </c>
      <c r="L116" s="26"/>
      <c r="M116" s="26"/>
      <c r="N116" s="26"/>
      <c r="O116" s="26"/>
      <c r="P116" s="26"/>
      <c r="Q116" s="26"/>
      <c r="R116" s="26"/>
      <c r="S116" s="26"/>
      <c r="T116" s="26"/>
    </row>
    <row r="117" spans="4:20" x14ac:dyDescent="0.25">
      <c r="D117" s="26" t="s">
        <v>54</v>
      </c>
      <c r="E117" s="26">
        <v>29</v>
      </c>
      <c r="F117" s="30" t="s">
        <v>62</v>
      </c>
      <c r="G117" s="25">
        <v>2</v>
      </c>
      <c r="H117" s="26">
        <f>IF(TRIM(F117)="",0,1)</f>
        <v>1</v>
      </c>
      <c r="I117" s="26">
        <f>COUNT(G117:G117)</f>
        <v>1</v>
      </c>
      <c r="J117" s="26">
        <f>IF(I117 &gt;= H117,0,1)</f>
        <v>0</v>
      </c>
      <c r="K117" s="26">
        <f>IF(AND(I117 &gt; 0,H117=0),1,0)</f>
        <v>0</v>
      </c>
      <c r="L117" s="26"/>
      <c r="M117" s="26"/>
      <c r="N117" s="26"/>
      <c r="O117" s="26"/>
      <c r="P117" s="26"/>
      <c r="Q117" s="26"/>
      <c r="R117" s="26"/>
      <c r="S117" s="26"/>
      <c r="T117" s="26"/>
    </row>
    <row r="118" spans="4:20" x14ac:dyDescent="0.25">
      <c r="D118" s="26" t="s">
        <v>54</v>
      </c>
      <c r="E118" s="26">
        <v>46</v>
      </c>
      <c r="F118" s="30" t="s">
        <v>62</v>
      </c>
      <c r="G118" s="25">
        <v>2</v>
      </c>
      <c r="H118" s="26">
        <f>IF(TRIM(F118)="",0,1)</f>
        <v>1</v>
      </c>
      <c r="I118" s="26">
        <f>COUNT(G118:G118)</f>
        <v>1</v>
      </c>
      <c r="J118" s="26">
        <f>IF(I118 &gt;= H118,0,1)</f>
        <v>0</v>
      </c>
      <c r="K118" s="26">
        <f>IF(AND(I118 &gt; 0,H118=0),1,0)</f>
        <v>0</v>
      </c>
      <c r="L118" s="26"/>
      <c r="M118" s="26"/>
      <c r="N118" s="26"/>
      <c r="O118" s="26"/>
      <c r="P118" s="26"/>
      <c r="Q118" s="26"/>
      <c r="R118" s="26"/>
      <c r="S118" s="26"/>
      <c r="T118" s="26"/>
    </row>
    <row r="119" spans="4:20" x14ac:dyDescent="0.25">
      <c r="D119" s="26" t="s">
        <v>54</v>
      </c>
      <c r="E119" s="26">
        <v>50</v>
      </c>
      <c r="F119" s="30" t="s">
        <v>62</v>
      </c>
      <c r="G119" s="25">
        <v>2</v>
      </c>
      <c r="H119" s="26">
        <f>IF(TRIM(F119)="",0,1)</f>
        <v>1</v>
      </c>
      <c r="I119" s="26">
        <f>COUNT(G119:G119)</f>
        <v>1</v>
      </c>
      <c r="J119" s="26">
        <f>IF(I119 &gt;= H119,0,1)</f>
        <v>0</v>
      </c>
      <c r="K119" s="26">
        <f>IF(AND(I119 &gt; 0,H119=0),1,0)</f>
        <v>0</v>
      </c>
      <c r="L119" s="26"/>
      <c r="M119" s="26"/>
      <c r="N119" s="26"/>
      <c r="O119" s="26"/>
      <c r="P119" s="26"/>
      <c r="Q119" s="26"/>
      <c r="R119" s="26"/>
      <c r="S119" s="26"/>
      <c r="T119" s="26"/>
    </row>
    <row r="120" spans="4:20" x14ac:dyDescent="0.25">
      <c r="D120" s="26" t="s">
        <v>54</v>
      </c>
      <c r="E120" s="26">
        <v>81</v>
      </c>
      <c r="F120" s="30" t="s">
        <v>62</v>
      </c>
      <c r="G120" s="25">
        <v>2</v>
      </c>
      <c r="H120" s="26">
        <f>IF(TRIM(F120)="",0,1)</f>
        <v>1</v>
      </c>
      <c r="I120" s="26">
        <f>COUNT(G120:G120)</f>
        <v>1</v>
      </c>
      <c r="J120" s="26">
        <f>IF(I120 &gt;= H120,0,1)</f>
        <v>0</v>
      </c>
      <c r="K120" s="26">
        <f>IF(AND(I120 &gt; 0,H120=0),1,0)</f>
        <v>0</v>
      </c>
      <c r="L120" s="26"/>
      <c r="M120" s="26"/>
      <c r="N120" s="26"/>
      <c r="O120" s="26"/>
      <c r="P120" s="26"/>
      <c r="Q120" s="26"/>
      <c r="R120" s="26"/>
      <c r="S120" s="26"/>
      <c r="T120" s="26"/>
    </row>
    <row r="121" spans="4:20" x14ac:dyDescent="0.25">
      <c r="D121" s="26" t="s">
        <v>54</v>
      </c>
      <c r="E121" s="26">
        <v>84</v>
      </c>
      <c r="F121" s="30" t="s">
        <v>62</v>
      </c>
      <c r="G121" s="25">
        <v>2</v>
      </c>
      <c r="H121" s="26">
        <f>IF(TRIM(F121)="",0,1)</f>
        <v>1</v>
      </c>
      <c r="I121" s="26">
        <f>COUNT(G121:G121)</f>
        <v>1</v>
      </c>
      <c r="J121" s="26">
        <f>IF(I121 &gt;= H121,0,1)</f>
        <v>0</v>
      </c>
      <c r="K121" s="26">
        <f>IF(AND(I121 &gt; 0,H121=0),1,0)</f>
        <v>0</v>
      </c>
      <c r="L121" s="26"/>
      <c r="M121" s="26"/>
      <c r="N121" s="26"/>
      <c r="O121" s="26"/>
      <c r="P121" s="26"/>
      <c r="Q121" s="26"/>
      <c r="R121" s="26"/>
      <c r="S121" s="26"/>
      <c r="T121" s="26"/>
    </row>
    <row r="122" spans="4:20" x14ac:dyDescent="0.25">
      <c r="D122" s="26" t="s">
        <v>54</v>
      </c>
      <c r="E122" s="26">
        <v>87</v>
      </c>
      <c r="F122" s="30" t="s">
        <v>62</v>
      </c>
      <c r="G122" s="25">
        <v>2</v>
      </c>
      <c r="H122" s="26">
        <f>IF(TRIM(F122)="",0,1)</f>
        <v>1</v>
      </c>
      <c r="I122" s="26">
        <f>COUNT(G122:G122)</f>
        <v>1</v>
      </c>
      <c r="J122" s="26">
        <f>IF(I122 &gt;= H122,0,1)</f>
        <v>0</v>
      </c>
      <c r="K122" s="26">
        <f>IF(AND(I122 &gt; 0,H122=0),1,0)</f>
        <v>0</v>
      </c>
      <c r="L122" s="26"/>
      <c r="M122" s="26"/>
      <c r="N122" s="26"/>
      <c r="O122" s="26"/>
      <c r="P122" s="26"/>
      <c r="Q122" s="26"/>
      <c r="R122" s="26"/>
      <c r="S122" s="26"/>
      <c r="T122" s="26"/>
    </row>
    <row r="123" spans="4:20" x14ac:dyDescent="0.25">
      <c r="D123" s="26" t="s">
        <v>54</v>
      </c>
      <c r="E123" s="26">
        <v>18</v>
      </c>
      <c r="F123" s="30" t="s">
        <v>63</v>
      </c>
      <c r="G123" s="25">
        <v>3</v>
      </c>
      <c r="H123" s="26">
        <f>IF(TRIM(F123)="",0,1)</f>
        <v>1</v>
      </c>
      <c r="I123" s="26">
        <f>COUNT(G123:G123)</f>
        <v>1</v>
      </c>
      <c r="J123" s="26">
        <f>IF(I123 &gt;= H123,0,1)</f>
        <v>0</v>
      </c>
      <c r="K123" s="26">
        <f>IF(AND(I123 &gt; 0,H123=0),1,0)</f>
        <v>0</v>
      </c>
      <c r="L123" s="26"/>
      <c r="M123" s="26"/>
      <c r="N123" s="26"/>
      <c r="O123" s="26"/>
      <c r="P123" s="26"/>
      <c r="Q123" s="26"/>
      <c r="R123" s="26"/>
      <c r="S123" s="26"/>
      <c r="T123" s="26"/>
    </row>
    <row r="124" spans="4:20" x14ac:dyDescent="0.25">
      <c r="D124" s="26" t="s">
        <v>54</v>
      </c>
      <c r="E124" s="26">
        <v>31</v>
      </c>
      <c r="F124" s="30" t="s">
        <v>63</v>
      </c>
      <c r="G124" s="25">
        <v>3</v>
      </c>
      <c r="H124" s="26">
        <f>IF(TRIM(F124)="",0,1)</f>
        <v>1</v>
      </c>
      <c r="I124" s="26">
        <f>COUNT(G124:G124)</f>
        <v>1</v>
      </c>
      <c r="J124" s="26">
        <f>IF(I124 &gt;= H124,0,1)</f>
        <v>0</v>
      </c>
      <c r="K124" s="26">
        <f>IF(AND(I124 &gt; 0,H124=0),1,0)</f>
        <v>0</v>
      </c>
      <c r="L124" s="26"/>
      <c r="M124" s="26"/>
      <c r="N124" s="26"/>
      <c r="O124" s="26"/>
      <c r="P124" s="26"/>
      <c r="Q124" s="26"/>
      <c r="R124" s="26"/>
      <c r="S124" s="26"/>
      <c r="T124" s="26"/>
    </row>
    <row r="125" spans="4:20" x14ac:dyDescent="0.25">
      <c r="D125" s="26" t="s">
        <v>54</v>
      </c>
      <c r="E125" s="26">
        <v>43</v>
      </c>
      <c r="F125" s="30" t="s">
        <v>63</v>
      </c>
      <c r="G125" s="25">
        <v>3</v>
      </c>
      <c r="H125" s="26">
        <f>IF(TRIM(F125)="",0,1)</f>
        <v>1</v>
      </c>
      <c r="I125" s="26">
        <f>COUNT(G125:G125)</f>
        <v>1</v>
      </c>
      <c r="J125" s="26">
        <f>IF(I125 &gt;= H125,0,1)</f>
        <v>0</v>
      </c>
      <c r="K125" s="26">
        <f>IF(AND(I125 &gt; 0,H125=0),1,0)</f>
        <v>0</v>
      </c>
      <c r="L125" s="26"/>
      <c r="M125" s="26"/>
      <c r="N125" s="26"/>
      <c r="O125" s="26"/>
      <c r="P125" s="26"/>
      <c r="Q125" s="26"/>
      <c r="R125" s="26"/>
      <c r="S125" s="26"/>
      <c r="T125" s="26"/>
    </row>
    <row r="126" spans="4:20" x14ac:dyDescent="0.25">
      <c r="D126" s="26" t="s">
        <v>54</v>
      </c>
      <c r="E126" s="26">
        <v>48</v>
      </c>
      <c r="F126" s="30" t="s">
        <v>63</v>
      </c>
      <c r="G126" s="25">
        <v>3</v>
      </c>
      <c r="H126" s="26">
        <f>IF(TRIM(F126)="",0,1)</f>
        <v>1</v>
      </c>
      <c r="I126" s="26">
        <f>COUNT(G126:G126)</f>
        <v>1</v>
      </c>
      <c r="J126" s="26">
        <f>IF(I126 &gt;= H126,0,1)</f>
        <v>0</v>
      </c>
      <c r="K126" s="26">
        <f>IF(AND(I126 &gt; 0,H126=0),1,0)</f>
        <v>0</v>
      </c>
      <c r="L126" s="26"/>
      <c r="M126" s="26"/>
      <c r="N126" s="26"/>
      <c r="O126" s="26"/>
      <c r="P126" s="26"/>
      <c r="Q126" s="26"/>
      <c r="R126" s="26"/>
      <c r="S126" s="26"/>
      <c r="T126" s="26"/>
    </row>
    <row r="127" spans="4:20" x14ac:dyDescent="0.25">
      <c r="D127" s="26" t="s">
        <v>54</v>
      </c>
      <c r="E127" s="26">
        <v>59</v>
      </c>
      <c r="F127" s="30" t="s">
        <v>63</v>
      </c>
      <c r="G127" s="25">
        <v>3</v>
      </c>
      <c r="H127" s="26">
        <f>IF(TRIM(F127)="",0,1)</f>
        <v>1</v>
      </c>
      <c r="I127" s="26">
        <f>COUNT(G127:G127)</f>
        <v>1</v>
      </c>
      <c r="J127" s="26">
        <f>IF(I127 &gt;= H127,0,1)</f>
        <v>0</v>
      </c>
      <c r="K127" s="26">
        <f>IF(AND(I127 &gt; 0,H127=0),1,0)</f>
        <v>0</v>
      </c>
      <c r="L127" s="26"/>
      <c r="M127" s="26"/>
      <c r="N127" s="26"/>
      <c r="O127" s="26"/>
      <c r="P127" s="26"/>
      <c r="Q127" s="26"/>
      <c r="R127" s="26"/>
      <c r="S127" s="26"/>
      <c r="T127" s="26"/>
    </row>
    <row r="128" spans="4:20" x14ac:dyDescent="0.25">
      <c r="D128" s="26" t="s">
        <v>54</v>
      </c>
      <c r="E128" s="26">
        <v>60</v>
      </c>
      <c r="F128" s="30" t="s">
        <v>63</v>
      </c>
      <c r="G128" s="25">
        <v>3</v>
      </c>
      <c r="H128" s="26">
        <f>IF(TRIM(F128)="",0,1)</f>
        <v>1</v>
      </c>
      <c r="I128" s="26">
        <f>COUNT(G128:G128)</f>
        <v>1</v>
      </c>
      <c r="J128" s="26">
        <f>IF(I128 &gt;= H128,0,1)</f>
        <v>0</v>
      </c>
      <c r="K128" s="26">
        <f>IF(AND(I128 &gt; 0,H128=0),1,0)</f>
        <v>0</v>
      </c>
      <c r="L128" s="26"/>
      <c r="M128" s="26"/>
      <c r="N128" s="26"/>
      <c r="O128" s="26"/>
      <c r="P128" s="26"/>
      <c r="Q128" s="26"/>
      <c r="R128" s="26"/>
      <c r="S128" s="26"/>
      <c r="T128" s="26"/>
    </row>
    <row r="129" spans="4:20" x14ac:dyDescent="0.25">
      <c r="D129" s="26" t="s">
        <v>54</v>
      </c>
      <c r="E129" s="26">
        <v>64</v>
      </c>
      <c r="F129" s="30" t="s">
        <v>63</v>
      </c>
      <c r="G129" s="25">
        <v>3</v>
      </c>
      <c r="H129" s="26">
        <f>IF(TRIM(F129)="",0,1)</f>
        <v>1</v>
      </c>
      <c r="I129" s="26">
        <f>COUNT(G129:G129)</f>
        <v>1</v>
      </c>
      <c r="J129" s="26">
        <f>IF(I129 &gt;= H129,0,1)</f>
        <v>0</v>
      </c>
      <c r="K129" s="26">
        <f>IF(AND(I129 &gt; 0,H129=0),1,0)</f>
        <v>0</v>
      </c>
      <c r="L129" s="26"/>
      <c r="M129" s="26"/>
      <c r="N129" s="26"/>
      <c r="O129" s="26"/>
      <c r="P129" s="26"/>
      <c r="Q129" s="26"/>
      <c r="R129" s="26"/>
      <c r="S129" s="26"/>
      <c r="T129" s="26"/>
    </row>
    <row r="130" spans="4:20" x14ac:dyDescent="0.25">
      <c r="D130" s="26" t="s">
        <v>54</v>
      </c>
      <c r="E130" s="26">
        <v>80</v>
      </c>
      <c r="F130" s="30" t="s">
        <v>63</v>
      </c>
      <c r="G130" s="25">
        <v>3</v>
      </c>
      <c r="H130" s="26">
        <f>IF(TRIM(F130)="",0,1)</f>
        <v>1</v>
      </c>
      <c r="I130" s="26">
        <f>COUNT(G130:G130)</f>
        <v>1</v>
      </c>
      <c r="J130" s="26">
        <f>IF(I130 &gt;= H130,0,1)</f>
        <v>0</v>
      </c>
      <c r="K130" s="26">
        <f>IF(AND(I130 &gt; 0,H130=0),1,0)</f>
        <v>0</v>
      </c>
      <c r="L130" s="26"/>
      <c r="M130" s="26"/>
      <c r="N130" s="26"/>
      <c r="O130" s="26"/>
      <c r="P130" s="26"/>
      <c r="Q130" s="26"/>
      <c r="R130" s="26"/>
      <c r="S130" s="26"/>
      <c r="T130" s="26"/>
    </row>
    <row r="131" spans="4:20" x14ac:dyDescent="0.25">
      <c r="D131" s="26" t="s">
        <v>54</v>
      </c>
      <c r="E131" s="26">
        <v>92</v>
      </c>
      <c r="F131" s="30" t="s">
        <v>63</v>
      </c>
      <c r="G131" s="25">
        <v>3</v>
      </c>
      <c r="H131" s="26">
        <f>IF(TRIM(F131)="",0,1)</f>
        <v>1</v>
      </c>
      <c r="I131" s="26">
        <f>COUNT(G131:G131)</f>
        <v>1</v>
      </c>
      <c r="J131" s="26">
        <f>IF(I131 &gt;= H131,0,1)</f>
        <v>0</v>
      </c>
      <c r="K131" s="26">
        <f>IF(AND(I131 &gt; 0,H131=0),1,0)</f>
        <v>0</v>
      </c>
      <c r="L131" s="26"/>
      <c r="M131" s="26"/>
      <c r="N131" s="26"/>
      <c r="O131" s="26"/>
      <c r="P131" s="26"/>
      <c r="Q131" s="26"/>
      <c r="R131" s="26"/>
      <c r="S131" s="26"/>
      <c r="T131" s="26"/>
    </row>
    <row r="132" spans="4:20" x14ac:dyDescent="0.25">
      <c r="D132" s="26" t="s">
        <v>54</v>
      </c>
      <c r="E132" s="26">
        <v>95</v>
      </c>
      <c r="F132" s="30" t="s">
        <v>63</v>
      </c>
      <c r="G132" s="25">
        <v>3</v>
      </c>
      <c r="H132" s="26">
        <f>IF(TRIM(F132)="",0,1)</f>
        <v>1</v>
      </c>
      <c r="I132" s="26">
        <f>COUNT(G132:G132)</f>
        <v>1</v>
      </c>
      <c r="J132" s="26">
        <f>IF(I132 &gt;= H132,0,1)</f>
        <v>0</v>
      </c>
      <c r="K132" s="26">
        <f>IF(AND(I132 &gt; 0,H132=0),1,0)</f>
        <v>0</v>
      </c>
      <c r="L132" s="26"/>
      <c r="M132" s="26"/>
      <c r="N132" s="26"/>
      <c r="O132" s="26"/>
      <c r="P132" s="26"/>
      <c r="Q132" s="26"/>
      <c r="R132" s="26"/>
      <c r="S132" s="26"/>
      <c r="T132" s="26"/>
    </row>
  </sheetData>
  <sheetProtection sheet="1" objects="1" scenarios="1" formatCells="0" formatColumns="0" formatRows="0" sort="0" autoFilter="0"/>
  <autoFilter ref="D32:T132">
    <sortState ref="D33:T132">
      <sortCondition descending="1" ref="F32:F132"/>
    </sortState>
  </autoFilter>
  <mergeCells count="2">
    <mergeCell ref="H11:J14"/>
    <mergeCell ref="H17:J30"/>
  </mergeCells>
  <conditionalFormatting sqref="H17">
    <cfRule type="cellIs" dxfId="3" priority="2" operator="notEqual">
      <formula>""</formula>
    </cfRule>
  </conditionalFormatting>
  <conditionalFormatting sqref="H11:J14">
    <cfRule type="expression" dxfId="2" priority="1">
      <formula>H6=H7</formula>
    </cfRule>
  </conditionalFormatting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Spinner 1">
              <controlPr locked="0" defaultSize="0" autoPict="0">
                <anchor moveWithCells="1" siz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4</xdr:col>
                    <xdr:colOff>0</xdr:colOff>
                    <xdr:row>24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32"/>
  <sheetViews>
    <sheetView tabSelected="1" topLeftCell="D1" workbookViewId="0">
      <pane ySplit="32" topLeftCell="A122" activePane="bottomLeft" state="frozen"/>
      <selection activeCell="D1" sqref="D1"/>
      <selection pane="bottomLeft" activeCell="G104" sqref="G104:G132"/>
    </sheetView>
  </sheetViews>
  <sheetFormatPr baseColWidth="10" defaultRowHeight="11.25" x14ac:dyDescent="0.25"/>
  <cols>
    <col min="1" max="3" width="0" style="3" hidden="1" customWidth="1"/>
    <col min="4" max="4" width="5.7109375" style="3" customWidth="1"/>
    <col min="5" max="5" width="6.7109375" style="3" customWidth="1"/>
    <col min="6" max="6" width="45.7109375" style="3" customWidth="1"/>
    <col min="7" max="11" width="7.7109375" style="3" customWidth="1"/>
    <col min="12" max="20" width="0" style="3" hidden="1" customWidth="1"/>
    <col min="21" max="16384" width="11.42578125" style="3"/>
  </cols>
  <sheetData>
    <row r="1" spans="1:10" ht="12" customHeight="1" x14ac:dyDescent="0.25">
      <c r="A1" s="3">
        <v>1</v>
      </c>
      <c r="B1" s="3" t="str">
        <f>Codestufen!C2</f>
        <v xml:space="preserve">sadness </v>
      </c>
      <c r="C1" s="3">
        <f>COUNTIF(V_W_Q7_Zuord,A1)</f>
        <v>19</v>
      </c>
      <c r="D1" s="5" t="s">
        <v>40</v>
      </c>
      <c r="E1" s="6"/>
      <c r="F1" s="7"/>
      <c r="G1" s="6"/>
      <c r="H1" s="8"/>
      <c r="I1" s="6"/>
      <c r="J1" s="6"/>
    </row>
    <row r="2" spans="1:10" ht="3" customHeight="1" x14ac:dyDescent="0.25">
      <c r="A2" s="9">
        <v>2</v>
      </c>
      <c r="B2" s="3" t="str">
        <f>Codestufen!C3</f>
        <v>fear</v>
      </c>
      <c r="C2" s="3">
        <f t="shared" ref="C2:C65" si="0">COUNTIF(V_W_Q7_Zuord,A2)</f>
        <v>27</v>
      </c>
      <c r="D2" s="6"/>
      <c r="E2" s="6"/>
      <c r="F2" s="7"/>
      <c r="G2" s="6"/>
      <c r="H2" s="6"/>
      <c r="I2" s="6"/>
      <c r="J2" s="6"/>
    </row>
    <row r="3" spans="1:10" x14ac:dyDescent="0.25">
      <c r="A3" s="3">
        <v>3</v>
      </c>
      <c r="B3" s="3" t="str">
        <f>Codestufen!C4</f>
        <v>anger</v>
      </c>
      <c r="C3" s="3">
        <f t="shared" si="0"/>
        <v>29</v>
      </c>
      <c r="D3" s="10">
        <v>4</v>
      </c>
      <c r="E3" s="11" t="s">
        <v>0</v>
      </c>
      <c r="F3" s="11" t="s">
        <v>1</v>
      </c>
      <c r="G3" s="12" t="s">
        <v>2</v>
      </c>
      <c r="H3" s="13" t="s">
        <v>3</v>
      </c>
      <c r="I3" s="13"/>
      <c r="J3" s="14"/>
    </row>
    <row r="4" spans="1:10" ht="8.25" customHeight="1" x14ac:dyDescent="0.25">
      <c r="A4" s="3">
        <v>4</v>
      </c>
      <c r="B4" s="3" t="str">
        <f>Codestufen!C5</f>
        <v>pain</v>
      </c>
      <c r="C4" s="3">
        <f t="shared" si="0"/>
        <v>25</v>
      </c>
      <c r="D4" s="15"/>
      <c r="E4" s="15"/>
      <c r="F4" s="15" t="str">
        <f>"Zuordnungen &lt; "&amp;E5</f>
        <v>Zuordnungen &lt; 1</v>
      </c>
      <c r="G4" s="15">
        <f>COUNTIF(V_W_Q7_Zuord,"&lt;"&amp;E5)</f>
        <v>0</v>
      </c>
      <c r="H4" s="14">
        <f>COUNTA(V_W_Q7_Datensaetze)/H5</f>
        <v>100</v>
      </c>
      <c r="I4" s="14" t="s">
        <v>4</v>
      </c>
      <c r="J4" s="14"/>
    </row>
    <row r="5" spans="1:10" ht="8.25" customHeight="1" x14ac:dyDescent="0.25">
      <c r="A5" s="3">
        <v>5</v>
      </c>
      <c r="B5" s="3">
        <f>Codestufen!C6</f>
        <v>0</v>
      </c>
      <c r="C5" s="3">
        <f t="shared" si="0"/>
        <v>0</v>
      </c>
      <c r="D5" s="16" t="s">
        <v>5</v>
      </c>
      <c r="E5" s="16">
        <f>(4-D3)*20+1</f>
        <v>1</v>
      </c>
      <c r="F5" s="17" t="str">
        <f>HYPERLINK("#Codestufen!"&amp;ADDRESS(E5+1,D$6),IF(INDEX(V_W_Q7_CodestufenName,E5)=0,"",INDEX(V_W_Q7_CodestufenName,E5)))</f>
        <v xml:space="preserve">sadness </v>
      </c>
      <c r="G5" s="16">
        <f>INDEX(V_W_Q7_Codestufen,E5)</f>
        <v>19</v>
      </c>
      <c r="H5" s="14">
        <v>1</v>
      </c>
      <c r="I5" s="14" t="s">
        <v>6</v>
      </c>
      <c r="J5" s="14"/>
    </row>
    <row r="6" spans="1:10" ht="8.25" customHeight="1" x14ac:dyDescent="0.25">
      <c r="A6" s="3">
        <v>6</v>
      </c>
      <c r="B6" s="3">
        <f>Codestufen!C7</f>
        <v>0</v>
      </c>
      <c r="C6" s="3">
        <f t="shared" si="0"/>
        <v>0</v>
      </c>
      <c r="D6" s="16">
        <v>3</v>
      </c>
      <c r="E6" s="16">
        <f>E5+1</f>
        <v>2</v>
      </c>
      <c r="F6" s="17" t="str">
        <f>HYPERLINK("#Codestufen!"&amp;ADDRESS(E6+1,D$6),IF(INDEX(V_W_Q7_CodestufenName,E6)=0,"",INDEX(V_W_Q7_CodestufenName,E6)))</f>
        <v>fear</v>
      </c>
      <c r="G6" s="16">
        <f>INDEX(V_W_Q7_Codestufen,E6)</f>
        <v>27</v>
      </c>
      <c r="H6" s="14">
        <f>SUM(V_W_Q7_Verbatims)</f>
        <v>100</v>
      </c>
      <c r="I6" s="14" t="s">
        <v>7</v>
      </c>
      <c r="J6" s="14"/>
    </row>
    <row r="7" spans="1:10" ht="8.25" customHeight="1" x14ac:dyDescent="0.25">
      <c r="A7" s="3">
        <v>7</v>
      </c>
      <c r="B7" s="3">
        <f>Codestufen!C8</f>
        <v>0</v>
      </c>
      <c r="C7" s="3">
        <f t="shared" si="0"/>
        <v>0</v>
      </c>
      <c r="D7" s="16" t="s">
        <v>4</v>
      </c>
      <c r="E7" s="16">
        <f t="shared" ref="E7:E24" si="1">E6+1</f>
        <v>3</v>
      </c>
      <c r="F7" s="17" t="str">
        <f>HYPERLINK("#Codestufen!"&amp;ADDRESS(E7+1,D$6),IF(INDEX(V_W_Q7_CodestufenName,E7)=0,"",INDEX(V_W_Q7_CodestufenName,E7)))</f>
        <v>anger</v>
      </c>
      <c r="G7" s="16">
        <f>INDEX(V_W_Q7_Codestufen,E7)</f>
        <v>29</v>
      </c>
      <c r="H7" s="14">
        <f>COUNTIF(V_W_Q7_AnzZuord,"&gt;0")</f>
        <v>100</v>
      </c>
      <c r="I7" s="14" t="s">
        <v>8</v>
      </c>
      <c r="J7" s="14"/>
    </row>
    <row r="8" spans="1:10" ht="8.25" customHeight="1" x14ac:dyDescent="0.25">
      <c r="A8" s="3">
        <v>8</v>
      </c>
      <c r="B8" s="3">
        <f>Codestufen!C9</f>
        <v>0</v>
      </c>
      <c r="C8" s="3">
        <f t="shared" si="0"/>
        <v>0</v>
      </c>
      <c r="D8" s="16" t="str">
        <f>"D33:D"&amp;D24</f>
        <v>D33:D132</v>
      </c>
      <c r="E8" s="16">
        <f t="shared" si="1"/>
        <v>4</v>
      </c>
      <c r="F8" s="17" t="str">
        <f>HYPERLINK("#Codestufen!"&amp;ADDRESS(E8+1,D$6),IF(INDEX(V_W_Q7_CodestufenName,E8)=0,"",INDEX(V_W_Q7_CodestufenName,E8)))</f>
        <v>pain</v>
      </c>
      <c r="G8" s="16">
        <f>INDEX(V_W_Q7_Codestufen,E8)</f>
        <v>25</v>
      </c>
      <c r="H8" s="14">
        <f>SUM(V_W_Q7_AnzZuord)</f>
        <v>100</v>
      </c>
      <c r="I8" s="14" t="s">
        <v>9</v>
      </c>
      <c r="J8" s="14"/>
    </row>
    <row r="9" spans="1:10" ht="8.25" customHeight="1" x14ac:dyDescent="0.25">
      <c r="A9" s="3">
        <v>9</v>
      </c>
      <c r="B9" s="3">
        <f>Codestufen!C10</f>
        <v>0</v>
      </c>
      <c r="C9" s="3">
        <f t="shared" si="0"/>
        <v>0</v>
      </c>
      <c r="D9" s="16" t="s">
        <v>7</v>
      </c>
      <c r="E9" s="16">
        <f t="shared" si="1"/>
        <v>5</v>
      </c>
      <c r="F9" s="17" t="str">
        <f>HYPERLINK("#Codestufen!"&amp;ADDRESS(E9+1,D$6),IF(INDEX(V_W_Q7_CodestufenName,E9)=0,"",INDEX(V_W_Q7_CodestufenName,E9)))</f>
        <v/>
      </c>
      <c r="G9" s="16">
        <f>INDEX(V_W_Q7_Codestufen,E9)</f>
        <v>0</v>
      </c>
      <c r="H9" s="14"/>
      <c r="I9" s="14"/>
      <c r="J9" s="14"/>
    </row>
    <row r="10" spans="1:10" ht="8.25" customHeight="1" x14ac:dyDescent="0.25">
      <c r="A10" s="3">
        <v>10</v>
      </c>
      <c r="B10" s="3">
        <f>Codestufen!C11</f>
        <v>0</v>
      </c>
      <c r="C10" s="3">
        <f t="shared" si="0"/>
        <v>0</v>
      </c>
      <c r="D10" s="16" t="str">
        <f>"H33:H"&amp;D24</f>
        <v>H33:H132</v>
      </c>
      <c r="E10" s="16">
        <f t="shared" si="1"/>
        <v>6</v>
      </c>
      <c r="F10" s="17" t="str">
        <f>HYPERLINK("#Codestufen!"&amp;ADDRESS(E10+1,D$6),IF(INDEX(V_W_Q7_CodestufenName,E10)=0,"",INDEX(V_W_Q7_CodestufenName,E10)))</f>
        <v/>
      </c>
      <c r="G10" s="16">
        <f>INDEX(V_W_Q7_Codestufen,E10)</f>
        <v>0</v>
      </c>
      <c r="H10" s="13" t="s">
        <v>10</v>
      </c>
      <c r="I10" s="14"/>
      <c r="J10" s="14"/>
    </row>
    <row r="11" spans="1:10" ht="8.25" customHeight="1" x14ac:dyDescent="0.25">
      <c r="A11" s="3">
        <v>11</v>
      </c>
      <c r="B11" s="3">
        <f>Codestufen!C12</f>
        <v>0</v>
      </c>
      <c r="C11" s="3">
        <f t="shared" si="0"/>
        <v>0</v>
      </c>
      <c r="D11" s="16" t="s">
        <v>8</v>
      </c>
      <c r="E11" s="16">
        <f t="shared" si="1"/>
        <v>7</v>
      </c>
      <c r="F11" s="17" t="str">
        <f>HYPERLINK("#Codestufen!"&amp;ADDRESS(E11+1,D$6),IF(INDEX(V_W_Q7_CodestufenName,E11)=0,"",INDEX(V_W_Q7_CodestufenName,E11)))</f>
        <v/>
      </c>
      <c r="G11" s="16">
        <f>INDEX(V_W_Q7_Codestufen,E11)</f>
        <v>0</v>
      </c>
      <c r="H11" s="18" t="str">
        <f>H6-H7&amp;" Verbatims sind noch zuzuordnen"</f>
        <v>0 Verbatims sind noch zuzuordnen</v>
      </c>
      <c r="I11" s="18"/>
      <c r="J11" s="18"/>
    </row>
    <row r="12" spans="1:10" ht="8.25" customHeight="1" x14ac:dyDescent="0.25">
      <c r="A12" s="3">
        <v>12</v>
      </c>
      <c r="B12" s="3">
        <f>Codestufen!C13</f>
        <v>0</v>
      </c>
      <c r="C12" s="3">
        <f t="shared" si="0"/>
        <v>0</v>
      </c>
      <c r="D12" s="16" t="str">
        <f>"G33:G"&amp;D24</f>
        <v>G33:G132</v>
      </c>
      <c r="E12" s="16">
        <f t="shared" si="1"/>
        <v>8</v>
      </c>
      <c r="F12" s="17" t="str">
        <f>HYPERLINK("#Codestufen!"&amp;ADDRESS(E12+1,D$6),IF(INDEX(V_W_Q7_CodestufenName,E12)=0,"",INDEX(V_W_Q7_CodestufenName,E12)))</f>
        <v/>
      </c>
      <c r="G12" s="16">
        <f>INDEX(V_W_Q7_Codestufen,E12)</f>
        <v>0</v>
      </c>
      <c r="H12" s="18"/>
      <c r="I12" s="18"/>
      <c r="J12" s="18"/>
    </row>
    <row r="13" spans="1:10" ht="8.25" customHeight="1" x14ac:dyDescent="0.25">
      <c r="A13" s="3">
        <v>13</v>
      </c>
      <c r="B13" s="3">
        <f>Codestufen!C14</f>
        <v>0</v>
      </c>
      <c r="C13" s="3">
        <f t="shared" si="0"/>
        <v>0</v>
      </c>
      <c r="D13" s="16" t="s">
        <v>11</v>
      </c>
      <c r="E13" s="16">
        <f t="shared" si="1"/>
        <v>9</v>
      </c>
      <c r="F13" s="17" t="str">
        <f>HYPERLINK("#Codestufen!"&amp;ADDRESS(E13+1,D$6),IF(INDEX(V_W_Q7_CodestufenName,E13)=0,"",INDEX(V_W_Q7_CodestufenName,E13)))</f>
        <v/>
      </c>
      <c r="G13" s="16">
        <f>INDEX(V_W_Q7_Codestufen,E13)</f>
        <v>0</v>
      </c>
      <c r="H13" s="18"/>
      <c r="I13" s="18"/>
      <c r="J13" s="18"/>
    </row>
    <row r="14" spans="1:10" ht="8.25" customHeight="1" x14ac:dyDescent="0.25">
      <c r="A14" s="3">
        <v>14</v>
      </c>
      <c r="B14" s="3">
        <f>Codestufen!C15</f>
        <v>0</v>
      </c>
      <c r="C14" s="3">
        <f t="shared" si="0"/>
        <v>0</v>
      </c>
      <c r="D14" s="16" t="str">
        <f>"I33:I"&amp;D24</f>
        <v>I33:I132</v>
      </c>
      <c r="E14" s="16">
        <f t="shared" si="1"/>
        <v>10</v>
      </c>
      <c r="F14" s="17" t="str">
        <f>HYPERLINK("#Codestufen!"&amp;ADDRESS(E14+1,D$6),IF(INDEX(V_W_Q7_CodestufenName,E14)=0,"",INDEX(V_W_Q7_CodestufenName,E14)))</f>
        <v/>
      </c>
      <c r="G14" s="16">
        <f>INDEX(V_W_Q7_Codestufen,E14)</f>
        <v>0</v>
      </c>
      <c r="H14" s="18"/>
      <c r="I14" s="18"/>
      <c r="J14" s="18"/>
    </row>
    <row r="15" spans="1:10" ht="8.25" customHeight="1" x14ac:dyDescent="0.25">
      <c r="A15" s="3">
        <v>15</v>
      </c>
      <c r="B15" s="3">
        <f>Codestufen!C16</f>
        <v>0</v>
      </c>
      <c r="C15" s="3">
        <f t="shared" si="0"/>
        <v>0</v>
      </c>
      <c r="D15" s="16" t="s">
        <v>12</v>
      </c>
      <c r="E15" s="16">
        <f t="shared" si="1"/>
        <v>11</v>
      </c>
      <c r="F15" s="17" t="str">
        <f>HYPERLINK("#Codestufen!"&amp;ADDRESS(E15+1,D$6),IF(INDEX(V_W_Q7_CodestufenName,E15)=0,"",INDEX(V_W_Q7_CodestufenName,E15)))</f>
        <v/>
      </c>
      <c r="G15" s="16">
        <f>INDEX(V_W_Q7_Codestufen,E15)</f>
        <v>0</v>
      </c>
    </row>
    <row r="16" spans="1:10" ht="8.25" customHeight="1" x14ac:dyDescent="0.25">
      <c r="A16" s="3">
        <v>16</v>
      </c>
      <c r="B16" s="3">
        <f>Codestufen!C17</f>
        <v>0</v>
      </c>
      <c r="C16" s="3">
        <f t="shared" si="0"/>
        <v>0</v>
      </c>
      <c r="D16" s="16" t="str">
        <f>"J33:J"&amp;D24</f>
        <v>J33:J132</v>
      </c>
      <c r="E16" s="16">
        <f t="shared" si="1"/>
        <v>12</v>
      </c>
      <c r="F16" s="17" t="str">
        <f>HYPERLINK("#Codestufen!"&amp;ADDRESS(E16+1,D$6),IF(INDEX(V_W_Q7_CodestufenName,E16)=0,"",INDEX(V_W_Q7_CodestufenName,E16)))</f>
        <v/>
      </c>
      <c r="G16" s="16">
        <f>INDEX(V_W_Q7_Codestufen,E16)</f>
        <v>0</v>
      </c>
      <c r="H16" s="13"/>
      <c r="I16" s="19"/>
      <c r="J16" s="19"/>
    </row>
    <row r="17" spans="1:20" ht="8.25" customHeight="1" x14ac:dyDescent="0.25">
      <c r="A17" s="3">
        <v>17</v>
      </c>
      <c r="B17" s="3">
        <f>Codestufen!C18</f>
        <v>0</v>
      </c>
      <c r="C17" s="3">
        <f t="shared" si="0"/>
        <v>0</v>
      </c>
      <c r="D17" s="16" t="s">
        <v>13</v>
      </c>
      <c r="E17" s="16">
        <f t="shared" si="1"/>
        <v>13</v>
      </c>
      <c r="F17" s="17" t="str">
        <f>HYPERLINK("#Codestufen!"&amp;ADDRESS(E17+1,D$6),IF(INDEX(V_W_Q7_CodestufenName,E17)=0,"",INDEX(V_W_Q7_CodestufenName,E17)))</f>
        <v/>
      </c>
      <c r="G17" s="16">
        <f>INDEX(V_W_Q7_Codestufen,E17)</f>
        <v>0</v>
      </c>
      <c r="H17" s="20" t="str">
        <f>IF(SUM(V_W_Q7_Codestufen)&lt;&gt;SUMIF(V_W_Q7_CodestufenName,"&lt;&gt;0",V_W_Q7_Codestufen),"Es gibt Nennungen, die keinem Code zugeordnet werden können.","")&amp;IF(SUM(V_W_Q7_AnzZuordOVerb)&gt;0,"Es gibt Zuordnungen bei nicht vorhandenen Verbatims.","")</f>
        <v/>
      </c>
      <c r="I17" s="20"/>
      <c r="J17" s="20"/>
    </row>
    <row r="18" spans="1:20" ht="8.25" customHeight="1" x14ac:dyDescent="0.25">
      <c r="A18" s="3">
        <v>18</v>
      </c>
      <c r="B18" s="3">
        <f>Codestufen!C19</f>
        <v>0</v>
      </c>
      <c r="C18" s="3">
        <f t="shared" si="0"/>
        <v>0</v>
      </c>
      <c r="D18" s="16" t="str">
        <f>"K33:K"&amp;D24</f>
        <v>K33:K132</v>
      </c>
      <c r="E18" s="16">
        <f t="shared" si="1"/>
        <v>14</v>
      </c>
      <c r="F18" s="17" t="str">
        <f>HYPERLINK("#Codestufen!"&amp;ADDRESS(E18+1,D$6),IF(INDEX(V_W_Q7_CodestufenName,E18)=0,"",INDEX(V_W_Q7_CodestufenName,E18)))</f>
        <v/>
      </c>
      <c r="G18" s="16">
        <f>INDEX(V_W_Q7_Codestufen,E18)</f>
        <v>0</v>
      </c>
      <c r="H18" s="20"/>
      <c r="I18" s="20"/>
      <c r="J18" s="20"/>
    </row>
    <row r="19" spans="1:20" ht="8.25" customHeight="1" x14ac:dyDescent="0.25">
      <c r="A19" s="3">
        <v>19</v>
      </c>
      <c r="B19" s="3">
        <f>Codestufen!C20</f>
        <v>0</v>
      </c>
      <c r="C19" s="3">
        <f t="shared" si="0"/>
        <v>0</v>
      </c>
      <c r="D19" s="16" t="s">
        <v>14</v>
      </c>
      <c r="E19" s="16">
        <f t="shared" si="1"/>
        <v>15</v>
      </c>
      <c r="F19" s="17" t="str">
        <f>HYPERLINK("#Codestufen!"&amp;ADDRESS(E19+1,D$6),IF(INDEX(V_W_Q7_CodestufenName,E19)=0,"",INDEX(V_W_Q7_CodestufenName,E19)))</f>
        <v/>
      </c>
      <c r="G19" s="16">
        <f>INDEX(V_W_Q7_Codestufen,E19)</f>
        <v>0</v>
      </c>
      <c r="H19" s="20"/>
      <c r="I19" s="20"/>
      <c r="J19" s="20"/>
    </row>
    <row r="20" spans="1:20" ht="8.25" customHeight="1" x14ac:dyDescent="0.25">
      <c r="A20" s="3">
        <v>20</v>
      </c>
      <c r="B20" s="3">
        <f>Codestufen!C21</f>
        <v>0</v>
      </c>
      <c r="C20" s="3">
        <f t="shared" si="0"/>
        <v>0</v>
      </c>
      <c r="D20" s="16" t="s">
        <v>20</v>
      </c>
      <c r="E20" s="16">
        <f t="shared" si="1"/>
        <v>16</v>
      </c>
      <c r="F20" s="17" t="str">
        <f>HYPERLINK("#Codestufen!"&amp;ADDRESS(E20+1,D$6),IF(INDEX(V_W_Q7_CodestufenName,E20)=0,"",INDEX(V_W_Q7_CodestufenName,E20)))</f>
        <v/>
      </c>
      <c r="G20" s="16">
        <f>INDEX(V_W_Q7_Codestufen,E20)</f>
        <v>0</v>
      </c>
      <c r="H20" s="20"/>
      <c r="I20" s="20"/>
      <c r="J20" s="20"/>
    </row>
    <row r="21" spans="1:20" ht="8.25" customHeight="1" x14ac:dyDescent="0.25">
      <c r="A21" s="3">
        <v>21</v>
      </c>
      <c r="B21" s="3">
        <f>Codestufen!C22</f>
        <v>0</v>
      </c>
      <c r="C21" s="3">
        <f t="shared" si="0"/>
        <v>0</v>
      </c>
      <c r="D21" s="16" t="s">
        <v>15</v>
      </c>
      <c r="E21" s="16">
        <f t="shared" si="1"/>
        <v>17</v>
      </c>
      <c r="F21" s="17" t="str">
        <f>HYPERLINK("#Codestufen!"&amp;ADDRESS(E21+1,D$6),IF(INDEX(V_W_Q7_CodestufenName,E21)=0,"",INDEX(V_W_Q7_CodestufenName,E21)))</f>
        <v/>
      </c>
      <c r="G21" s="16">
        <f>INDEX(V_W_Q7_Codestufen,E21)</f>
        <v>0</v>
      </c>
      <c r="H21" s="20"/>
      <c r="I21" s="20"/>
      <c r="J21" s="20"/>
    </row>
    <row r="22" spans="1:20" ht="8.25" customHeight="1" x14ac:dyDescent="0.25">
      <c r="A22" s="3">
        <v>22</v>
      </c>
      <c r="B22" s="3">
        <f>Codestufen!C23</f>
        <v>0</v>
      </c>
      <c r="C22" s="3">
        <f t="shared" si="0"/>
        <v>0</v>
      </c>
      <c r="D22" s="16" t="s">
        <v>21</v>
      </c>
      <c r="E22" s="16">
        <f t="shared" si="1"/>
        <v>18</v>
      </c>
      <c r="F22" s="17" t="str">
        <f>HYPERLINK("#Codestufen!"&amp;ADDRESS(E22+1,D$6),IF(INDEX(V_W_Q7_CodestufenName,E22)=0,"",INDEX(V_W_Q7_CodestufenName,E22)))</f>
        <v/>
      </c>
      <c r="G22" s="16">
        <f>INDEX(V_W_Q7_Codestufen,E22)</f>
        <v>0</v>
      </c>
      <c r="H22" s="20"/>
      <c r="I22" s="20"/>
      <c r="J22" s="20"/>
    </row>
    <row r="23" spans="1:20" ht="8.25" customHeight="1" x14ac:dyDescent="0.25">
      <c r="A23" s="3">
        <v>23</v>
      </c>
      <c r="B23" s="3">
        <f>Codestufen!C24</f>
        <v>0</v>
      </c>
      <c r="C23" s="3">
        <f t="shared" si="0"/>
        <v>0</v>
      </c>
      <c r="D23" s="16" t="s">
        <v>16</v>
      </c>
      <c r="E23" s="16">
        <f t="shared" si="1"/>
        <v>19</v>
      </c>
      <c r="F23" s="17" t="str">
        <f>HYPERLINK("#Codestufen!"&amp;ADDRESS(E23+1,D$6),IF(INDEX(V_W_Q7_CodestufenName,E23)=0,"",INDEX(V_W_Q7_CodestufenName,E23)))</f>
        <v/>
      </c>
      <c r="G23" s="16">
        <f>INDEX(V_W_Q7_Codestufen,E23)</f>
        <v>0</v>
      </c>
      <c r="H23" s="20"/>
      <c r="I23" s="20"/>
      <c r="J23" s="20"/>
    </row>
    <row r="24" spans="1:20" ht="8.25" customHeight="1" x14ac:dyDescent="0.25">
      <c r="A24" s="3">
        <v>24</v>
      </c>
      <c r="B24" s="3">
        <f>Codestufen!C25</f>
        <v>0</v>
      </c>
      <c r="C24" s="3">
        <f t="shared" si="0"/>
        <v>0</v>
      </c>
      <c r="D24" s="16">
        <v>132</v>
      </c>
      <c r="E24" s="16">
        <f t="shared" si="1"/>
        <v>20</v>
      </c>
      <c r="F24" s="17" t="str">
        <f>HYPERLINK("#Codestufen!"&amp;ADDRESS(E24+1,D$6),IF(INDEX(V_W_Q7_CodestufenName,E24)=0,"",INDEX(V_W_Q7_CodestufenName,E24)))</f>
        <v/>
      </c>
      <c r="G24" s="16">
        <f>INDEX(V_W_Q7_Codestufen,E24)</f>
        <v>0</v>
      </c>
      <c r="H24" s="20"/>
      <c r="I24" s="20"/>
      <c r="J24" s="20"/>
    </row>
    <row r="25" spans="1:20" ht="8.25" customHeight="1" x14ac:dyDescent="0.25">
      <c r="A25" s="3">
        <v>25</v>
      </c>
      <c r="B25" s="3">
        <f>Codestufen!C26</f>
        <v>0</v>
      </c>
      <c r="C25" s="3">
        <f t="shared" si="0"/>
        <v>0</v>
      </c>
      <c r="D25" s="15"/>
      <c r="E25" s="15"/>
      <c r="F25" s="15" t="str">
        <f>"Zuordnungen &gt; " &amp;E24&amp; " und &lt; "&amp;E26</f>
        <v>Zuordnungen &gt; 20 und &lt; 97</v>
      </c>
      <c r="G25" s="15">
        <f>COUNTIF(V_W_Q7_Zuord,"&lt;"&amp;E26)-SUM(G4:G24)</f>
        <v>0</v>
      </c>
      <c r="H25" s="20"/>
      <c r="I25" s="20"/>
      <c r="J25" s="20"/>
    </row>
    <row r="26" spans="1:20" ht="8.25" customHeight="1" x14ac:dyDescent="0.25">
      <c r="A26" s="3">
        <v>26</v>
      </c>
      <c r="B26" s="3">
        <f>Codestufen!C27</f>
        <v>0</v>
      </c>
      <c r="C26" s="3">
        <f t="shared" si="0"/>
        <v>0</v>
      </c>
      <c r="D26" s="21" t="s">
        <v>17</v>
      </c>
      <c r="E26" s="16">
        <f>D29</f>
        <v>97</v>
      </c>
      <c r="F26" s="17" t="str">
        <f>HYPERLINK("#Codestufen!"&amp;ADDRESS(E26+1,D$6),IF(INDEX(V_W_Q7_CodestufenName,E26)=0,"",INDEX(V_W_Q7_CodestufenName,E26)))</f>
        <v/>
      </c>
      <c r="G26" s="16">
        <f>INDEX(V_W_Q7_Codestufen,E26)</f>
        <v>0</v>
      </c>
      <c r="H26" s="20"/>
      <c r="I26" s="20"/>
      <c r="J26" s="20"/>
    </row>
    <row r="27" spans="1:20" ht="8.25" customHeight="1" x14ac:dyDescent="0.25">
      <c r="A27" s="3">
        <v>27</v>
      </c>
      <c r="B27" s="3">
        <f>Codestufen!C28</f>
        <v>0</v>
      </c>
      <c r="C27" s="3">
        <f t="shared" si="0"/>
        <v>0</v>
      </c>
      <c r="D27" s="22" t="s">
        <v>18</v>
      </c>
      <c r="E27" s="16">
        <f>E26+1</f>
        <v>98</v>
      </c>
      <c r="F27" s="17" t="str">
        <f>HYPERLINK("#Codestufen!"&amp;ADDRESS(E27+1,D$6),IF(INDEX(V_W_Q7_CodestufenName,E27)=0,"",INDEX(V_W_Q7_CodestufenName,E27)))</f>
        <v/>
      </c>
      <c r="G27" s="16">
        <f>INDEX(V_W_Q7_Codestufen,E27)</f>
        <v>0</v>
      </c>
      <c r="H27" s="20"/>
      <c r="I27" s="20"/>
      <c r="J27" s="20"/>
    </row>
    <row r="28" spans="1:20" ht="8.25" customHeight="1" x14ac:dyDescent="0.25">
      <c r="A28" s="3">
        <v>28</v>
      </c>
      <c r="B28" s="3">
        <f>Codestufen!C29</f>
        <v>0</v>
      </c>
      <c r="C28" s="3">
        <f t="shared" si="0"/>
        <v>0</v>
      </c>
      <c r="D28" s="22" t="s">
        <v>19</v>
      </c>
      <c r="E28" s="16">
        <f>E27+1</f>
        <v>99</v>
      </c>
      <c r="F28" s="17" t="str">
        <f>HYPERLINK("#Codestufen!"&amp;ADDRESS(E28+1,D$6),IF(INDEX(V_W_Q7_CodestufenName,E28)=0,"",INDEX(V_W_Q7_CodestufenName,E28)))</f>
        <v/>
      </c>
      <c r="G28" s="16">
        <f>INDEX(V_W_Q7_Codestufen,E28)</f>
        <v>0</v>
      </c>
      <c r="H28" s="20"/>
      <c r="I28" s="20"/>
      <c r="J28" s="20"/>
    </row>
    <row r="29" spans="1:20" ht="8.25" customHeight="1" x14ac:dyDescent="0.25">
      <c r="A29" s="3">
        <v>29</v>
      </c>
      <c r="B29" s="3">
        <f>Codestufen!C30</f>
        <v>0</v>
      </c>
      <c r="C29" s="3">
        <f t="shared" si="0"/>
        <v>0</v>
      </c>
      <c r="D29" s="23">
        <v>97</v>
      </c>
      <c r="E29" s="16">
        <f>E28+1</f>
        <v>100</v>
      </c>
      <c r="F29" s="17" t="str">
        <f>HYPERLINK("#Codestufen!"&amp;ADDRESS(E29+1,D$6),IF(INDEX(V_W_Q7_CodestufenName,E29)=0,"",INDEX(V_W_Q7_CodestufenName,E29)))</f>
        <v/>
      </c>
      <c r="G29" s="16">
        <f>INDEX(V_W_Q7_Codestufen,E29)</f>
        <v>0</v>
      </c>
      <c r="H29" s="20"/>
      <c r="I29" s="20"/>
      <c r="J29" s="20"/>
    </row>
    <row r="30" spans="1:20" ht="8.25" customHeight="1" x14ac:dyDescent="0.25">
      <c r="A30" s="3">
        <v>30</v>
      </c>
      <c r="B30" s="3">
        <f>Codestufen!C31</f>
        <v>0</v>
      </c>
      <c r="C30" s="3">
        <f t="shared" si="0"/>
        <v>0</v>
      </c>
      <c r="D30" s="15"/>
      <c r="E30" s="15"/>
      <c r="F30" s="15" t="str">
        <f>"Zuordnungen &gt; " &amp;E29</f>
        <v>Zuordnungen &gt; 100</v>
      </c>
      <c r="G30" s="15">
        <f>COUNTIF(V_W_Q7_Zuord,"&gt;"&amp;E29)</f>
        <v>0</v>
      </c>
      <c r="H30" s="20"/>
      <c r="I30" s="20"/>
      <c r="J30" s="20"/>
    </row>
    <row r="31" spans="1:20" ht="8.25" customHeight="1" x14ac:dyDescent="0.25">
      <c r="A31" s="3">
        <v>31</v>
      </c>
      <c r="B31" s="3">
        <f>Codestufen!C32</f>
        <v>0</v>
      </c>
      <c r="C31" s="3">
        <f t="shared" si="0"/>
        <v>0</v>
      </c>
    </row>
    <row r="32" spans="1:20" s="4" customFormat="1" ht="33.75" x14ac:dyDescent="0.25">
      <c r="A32" s="4">
        <v>32</v>
      </c>
      <c r="B32" s="3">
        <f>Codestufen!C33</f>
        <v>0</v>
      </c>
      <c r="C32" s="3">
        <f t="shared" si="0"/>
        <v>0</v>
      </c>
      <c r="D32" s="29" t="s">
        <v>23</v>
      </c>
      <c r="E32" s="29" t="s">
        <v>24</v>
      </c>
      <c r="F32" s="29" t="s">
        <v>25</v>
      </c>
      <c r="G32" s="29" t="s">
        <v>26</v>
      </c>
      <c r="H32" s="29" t="s">
        <v>27</v>
      </c>
      <c r="I32" s="29" t="s">
        <v>28</v>
      </c>
      <c r="J32" s="29" t="s">
        <v>29</v>
      </c>
      <c r="K32" s="29" t="s">
        <v>30</v>
      </c>
      <c r="L32" s="29" t="s">
        <v>31</v>
      </c>
      <c r="M32" s="29" t="s">
        <v>32</v>
      </c>
      <c r="N32" s="29" t="s">
        <v>33</v>
      </c>
      <c r="O32" s="29" t="s">
        <v>34</v>
      </c>
      <c r="P32" s="29" t="s">
        <v>35</v>
      </c>
      <c r="Q32" s="29" t="s">
        <v>36</v>
      </c>
      <c r="R32" s="29" t="s">
        <v>37</v>
      </c>
      <c r="S32" s="29" t="s">
        <v>38</v>
      </c>
      <c r="T32" s="29" t="s">
        <v>39</v>
      </c>
    </row>
    <row r="33" spans="1:20" x14ac:dyDescent="0.25">
      <c r="A33" s="3">
        <v>33</v>
      </c>
      <c r="B33" s="3">
        <f>Codestufen!C34</f>
        <v>0</v>
      </c>
      <c r="C33" s="3">
        <f t="shared" si="0"/>
        <v>0</v>
      </c>
      <c r="D33" s="26" t="s">
        <v>41</v>
      </c>
      <c r="E33" s="26">
        <v>77</v>
      </c>
      <c r="F33" s="30" t="s">
        <v>53</v>
      </c>
      <c r="G33" s="25">
        <v>1</v>
      </c>
      <c r="H33" s="26">
        <f>IF(TRIM(F33)="",0,1)</f>
        <v>1</v>
      </c>
      <c r="I33" s="26">
        <f>COUNT(G33:G33)</f>
        <v>1</v>
      </c>
      <c r="J33" s="26">
        <f>IF(I33 &gt;= H33,0,1)</f>
        <v>0</v>
      </c>
      <c r="K33" s="26">
        <f>IF(AND(I33 &gt; 0,H33=0),1,0)</f>
        <v>0</v>
      </c>
      <c r="L33" s="26"/>
      <c r="M33" s="26"/>
      <c r="N33" s="26"/>
      <c r="O33" s="26"/>
      <c r="P33" s="26"/>
      <c r="Q33" s="26"/>
      <c r="R33" s="26"/>
      <c r="S33" s="26"/>
      <c r="T33" s="26"/>
    </row>
    <row r="34" spans="1:20" x14ac:dyDescent="0.25">
      <c r="A34" s="3">
        <v>34</v>
      </c>
      <c r="B34" s="3">
        <f>Codestufen!C35</f>
        <v>0</v>
      </c>
      <c r="C34" s="3">
        <f t="shared" si="0"/>
        <v>0</v>
      </c>
      <c r="D34" s="26" t="s">
        <v>41</v>
      </c>
      <c r="E34" s="26">
        <v>87</v>
      </c>
      <c r="F34" s="30" t="s">
        <v>53</v>
      </c>
      <c r="G34" s="25">
        <v>1</v>
      </c>
      <c r="H34" s="26">
        <f>IF(TRIM(F34)="",0,1)</f>
        <v>1</v>
      </c>
      <c r="I34" s="26">
        <f>COUNT(G34:G34)</f>
        <v>1</v>
      </c>
      <c r="J34" s="26">
        <f>IF(I34 &gt;= H34,0,1)</f>
        <v>0</v>
      </c>
      <c r="K34" s="26">
        <f>IF(AND(I34 &gt; 0,H34=0),1,0)</f>
        <v>0</v>
      </c>
      <c r="L34" s="26"/>
      <c r="M34" s="26"/>
      <c r="N34" s="26"/>
      <c r="O34" s="26"/>
      <c r="P34" s="26"/>
      <c r="Q34" s="26"/>
      <c r="R34" s="26"/>
      <c r="S34" s="26"/>
      <c r="T34" s="26"/>
    </row>
    <row r="35" spans="1:20" x14ac:dyDescent="0.25">
      <c r="A35" s="3">
        <v>35</v>
      </c>
      <c r="B35" s="3">
        <f>Codestufen!C36</f>
        <v>0</v>
      </c>
      <c r="C35" s="3">
        <f t="shared" si="0"/>
        <v>0</v>
      </c>
      <c r="D35" s="26" t="s">
        <v>41</v>
      </c>
      <c r="E35" s="26">
        <v>6</v>
      </c>
      <c r="F35" s="30" t="s">
        <v>46</v>
      </c>
      <c r="G35" s="25">
        <v>4</v>
      </c>
      <c r="H35" s="26">
        <f>IF(TRIM(F35)="",0,1)</f>
        <v>1</v>
      </c>
      <c r="I35" s="26">
        <f>COUNT(G35:G35)</f>
        <v>1</v>
      </c>
      <c r="J35" s="26">
        <f>IF(I35 &gt;= H35,0,1)</f>
        <v>0</v>
      </c>
      <c r="K35" s="26">
        <f>IF(AND(I35 &gt; 0,H35=0),1,0)</f>
        <v>0</v>
      </c>
      <c r="L35" s="26"/>
      <c r="M35" s="26"/>
      <c r="N35" s="26"/>
      <c r="O35" s="26"/>
      <c r="P35" s="26"/>
      <c r="Q35" s="26"/>
      <c r="R35" s="26"/>
      <c r="S35" s="26"/>
      <c r="T35" s="26"/>
    </row>
    <row r="36" spans="1:20" x14ac:dyDescent="0.25">
      <c r="A36" s="3">
        <v>36</v>
      </c>
      <c r="B36" s="3">
        <f>Codestufen!C37</f>
        <v>0</v>
      </c>
      <c r="C36" s="3">
        <f t="shared" si="0"/>
        <v>0</v>
      </c>
      <c r="D36" s="26" t="s">
        <v>41</v>
      </c>
      <c r="E36" s="26">
        <v>15</v>
      </c>
      <c r="F36" s="30" t="s">
        <v>46</v>
      </c>
      <c r="G36" s="25">
        <v>4</v>
      </c>
      <c r="H36" s="26">
        <f>IF(TRIM(F36)="",0,1)</f>
        <v>1</v>
      </c>
      <c r="I36" s="26">
        <f>COUNT(G36:G36)</f>
        <v>1</v>
      </c>
      <c r="J36" s="26">
        <f>IF(I36 &gt;= H36,0,1)</f>
        <v>0</v>
      </c>
      <c r="K36" s="26">
        <f>IF(AND(I36 &gt; 0,H36=0),1,0)</f>
        <v>0</v>
      </c>
      <c r="L36" s="26"/>
      <c r="M36" s="26"/>
      <c r="N36" s="26"/>
      <c r="O36" s="26"/>
      <c r="P36" s="26"/>
      <c r="Q36" s="26"/>
      <c r="R36" s="26"/>
      <c r="S36" s="26"/>
      <c r="T36" s="26"/>
    </row>
    <row r="37" spans="1:20" x14ac:dyDescent="0.25">
      <c r="A37" s="3">
        <v>37</v>
      </c>
      <c r="B37" s="3">
        <f>Codestufen!C38</f>
        <v>0</v>
      </c>
      <c r="C37" s="3">
        <f t="shared" si="0"/>
        <v>0</v>
      </c>
      <c r="D37" s="26" t="s">
        <v>41</v>
      </c>
      <c r="E37" s="26">
        <v>23</v>
      </c>
      <c r="F37" s="30" t="s">
        <v>46</v>
      </c>
      <c r="G37" s="25">
        <v>4</v>
      </c>
      <c r="H37" s="26">
        <f>IF(TRIM(F37)="",0,1)</f>
        <v>1</v>
      </c>
      <c r="I37" s="26">
        <f>COUNT(G37:G37)</f>
        <v>1</v>
      </c>
      <c r="J37" s="26">
        <f>IF(I37 &gt;= H37,0,1)</f>
        <v>0</v>
      </c>
      <c r="K37" s="26">
        <f>IF(AND(I37 &gt; 0,H37=0),1,0)</f>
        <v>0</v>
      </c>
      <c r="L37" s="26"/>
      <c r="M37" s="26"/>
      <c r="N37" s="26"/>
      <c r="O37" s="26"/>
      <c r="P37" s="26"/>
      <c r="Q37" s="26"/>
      <c r="R37" s="26"/>
      <c r="S37" s="26"/>
      <c r="T37" s="26"/>
    </row>
    <row r="38" spans="1:20" x14ac:dyDescent="0.25">
      <c r="A38" s="3">
        <v>38</v>
      </c>
      <c r="B38" s="3">
        <f>Codestufen!C39</f>
        <v>0</v>
      </c>
      <c r="C38" s="3">
        <f t="shared" si="0"/>
        <v>0</v>
      </c>
      <c r="D38" s="26" t="s">
        <v>41</v>
      </c>
      <c r="E38" s="26">
        <v>27</v>
      </c>
      <c r="F38" s="30" t="s">
        <v>46</v>
      </c>
      <c r="G38" s="25">
        <v>4</v>
      </c>
      <c r="H38" s="26">
        <f>IF(TRIM(F38)="",0,1)</f>
        <v>1</v>
      </c>
      <c r="I38" s="26">
        <f>COUNT(G38:G38)</f>
        <v>1</v>
      </c>
      <c r="J38" s="26">
        <f>IF(I38 &gt;= H38,0,1)</f>
        <v>0</v>
      </c>
      <c r="K38" s="26">
        <f>IF(AND(I38 &gt; 0,H38=0),1,0)</f>
        <v>0</v>
      </c>
      <c r="L38" s="26"/>
      <c r="M38" s="26"/>
      <c r="N38" s="26"/>
      <c r="O38" s="26"/>
      <c r="P38" s="26"/>
      <c r="Q38" s="26"/>
      <c r="R38" s="26"/>
      <c r="S38" s="26"/>
      <c r="T38" s="26"/>
    </row>
    <row r="39" spans="1:20" x14ac:dyDescent="0.25">
      <c r="A39" s="3">
        <v>39</v>
      </c>
      <c r="B39" s="3">
        <f>Codestufen!C40</f>
        <v>0</v>
      </c>
      <c r="C39" s="3">
        <f t="shared" si="0"/>
        <v>0</v>
      </c>
      <c r="D39" s="26" t="s">
        <v>41</v>
      </c>
      <c r="E39" s="26">
        <v>44</v>
      </c>
      <c r="F39" s="30" t="s">
        <v>46</v>
      </c>
      <c r="G39" s="25">
        <v>4</v>
      </c>
      <c r="H39" s="26">
        <f>IF(TRIM(F39)="",0,1)</f>
        <v>1</v>
      </c>
      <c r="I39" s="26">
        <f>COUNT(G39:G39)</f>
        <v>1</v>
      </c>
      <c r="J39" s="26">
        <f>IF(I39 &gt;= H39,0,1)</f>
        <v>0</v>
      </c>
      <c r="K39" s="26">
        <f>IF(AND(I39 &gt; 0,H39=0),1,0)</f>
        <v>0</v>
      </c>
      <c r="L39" s="26"/>
      <c r="M39" s="26"/>
      <c r="N39" s="26"/>
      <c r="O39" s="26"/>
      <c r="P39" s="26"/>
      <c r="Q39" s="26"/>
      <c r="R39" s="26"/>
      <c r="S39" s="26"/>
      <c r="T39" s="26"/>
    </row>
    <row r="40" spans="1:20" x14ac:dyDescent="0.25">
      <c r="A40" s="3">
        <v>40</v>
      </c>
      <c r="B40" s="3">
        <f>Codestufen!C41</f>
        <v>0</v>
      </c>
      <c r="C40" s="3">
        <f t="shared" si="0"/>
        <v>0</v>
      </c>
      <c r="D40" s="26" t="s">
        <v>41</v>
      </c>
      <c r="E40" s="26">
        <v>45</v>
      </c>
      <c r="F40" s="30" t="s">
        <v>46</v>
      </c>
      <c r="G40" s="25">
        <v>4</v>
      </c>
      <c r="H40" s="26">
        <f>IF(TRIM(F40)="",0,1)</f>
        <v>1</v>
      </c>
      <c r="I40" s="26">
        <f>COUNT(G40:G40)</f>
        <v>1</v>
      </c>
      <c r="J40" s="26">
        <f>IF(I40 &gt;= H40,0,1)</f>
        <v>0</v>
      </c>
      <c r="K40" s="26">
        <f>IF(AND(I40 &gt; 0,H40=0),1,0)</f>
        <v>0</v>
      </c>
      <c r="L40" s="26"/>
      <c r="M40" s="26"/>
      <c r="N40" s="26"/>
      <c r="O40" s="26"/>
      <c r="P40" s="26"/>
      <c r="Q40" s="26"/>
      <c r="R40" s="26"/>
      <c r="S40" s="26"/>
      <c r="T40" s="26"/>
    </row>
    <row r="41" spans="1:20" x14ac:dyDescent="0.25">
      <c r="A41" s="3">
        <v>41</v>
      </c>
      <c r="B41" s="3">
        <f>Codestufen!C42</f>
        <v>0</v>
      </c>
      <c r="C41" s="3">
        <f t="shared" si="0"/>
        <v>0</v>
      </c>
      <c r="D41" s="26" t="s">
        <v>41</v>
      </c>
      <c r="E41" s="26">
        <v>49</v>
      </c>
      <c r="F41" s="30" t="s">
        <v>46</v>
      </c>
      <c r="G41" s="25">
        <v>4</v>
      </c>
      <c r="H41" s="26">
        <f>IF(TRIM(F41)="",0,1)</f>
        <v>1</v>
      </c>
      <c r="I41" s="26">
        <f>COUNT(G41:G41)</f>
        <v>1</v>
      </c>
      <c r="J41" s="26">
        <f>IF(I41 &gt;= H41,0,1)</f>
        <v>0</v>
      </c>
      <c r="K41" s="26">
        <f>IF(AND(I41 &gt; 0,H41=0),1,0)</f>
        <v>0</v>
      </c>
      <c r="L41" s="26"/>
      <c r="M41" s="26"/>
      <c r="N41" s="26"/>
      <c r="O41" s="26"/>
      <c r="P41" s="26"/>
      <c r="Q41" s="26"/>
      <c r="R41" s="26"/>
      <c r="S41" s="26"/>
      <c r="T41" s="26"/>
    </row>
    <row r="42" spans="1:20" x14ac:dyDescent="0.25">
      <c r="A42" s="3">
        <v>42</v>
      </c>
      <c r="B42" s="3">
        <f>Codestufen!C43</f>
        <v>0</v>
      </c>
      <c r="C42" s="3">
        <f t="shared" si="0"/>
        <v>0</v>
      </c>
      <c r="D42" s="26" t="s">
        <v>41</v>
      </c>
      <c r="E42" s="26">
        <v>56</v>
      </c>
      <c r="F42" s="30" t="s">
        <v>46</v>
      </c>
      <c r="G42" s="25">
        <v>4</v>
      </c>
      <c r="H42" s="26">
        <f>IF(TRIM(F42)="",0,1)</f>
        <v>1</v>
      </c>
      <c r="I42" s="26">
        <f>COUNT(G42:G42)</f>
        <v>1</v>
      </c>
      <c r="J42" s="26">
        <f>IF(I42 &gt;= H42,0,1)</f>
        <v>0</v>
      </c>
      <c r="K42" s="26">
        <f>IF(AND(I42 &gt; 0,H42=0),1,0)</f>
        <v>0</v>
      </c>
      <c r="L42" s="26"/>
      <c r="M42" s="26"/>
      <c r="N42" s="26"/>
      <c r="O42" s="26"/>
      <c r="P42" s="26"/>
      <c r="Q42" s="26"/>
      <c r="R42" s="26"/>
      <c r="S42" s="26"/>
      <c r="T42" s="26"/>
    </row>
    <row r="43" spans="1:20" x14ac:dyDescent="0.25">
      <c r="A43" s="3">
        <v>43</v>
      </c>
      <c r="B43" s="3">
        <f>Codestufen!C44</f>
        <v>0</v>
      </c>
      <c r="C43" s="3">
        <f t="shared" si="0"/>
        <v>0</v>
      </c>
      <c r="D43" s="26" t="s">
        <v>41</v>
      </c>
      <c r="E43" s="26">
        <v>66</v>
      </c>
      <c r="F43" s="30" t="s">
        <v>46</v>
      </c>
      <c r="G43" s="25">
        <v>4</v>
      </c>
      <c r="H43" s="26">
        <f>IF(TRIM(F43)="",0,1)</f>
        <v>1</v>
      </c>
      <c r="I43" s="26">
        <f>COUNT(G43:G43)</f>
        <v>1</v>
      </c>
      <c r="J43" s="26">
        <f>IF(I43 &gt;= H43,0,1)</f>
        <v>0</v>
      </c>
      <c r="K43" s="26">
        <f>IF(AND(I43 &gt; 0,H43=0),1,0)</f>
        <v>0</v>
      </c>
      <c r="L43" s="26"/>
      <c r="M43" s="26"/>
      <c r="N43" s="26"/>
      <c r="O43" s="26"/>
      <c r="P43" s="26"/>
      <c r="Q43" s="26"/>
      <c r="R43" s="26"/>
      <c r="S43" s="26"/>
      <c r="T43" s="26"/>
    </row>
    <row r="44" spans="1:20" x14ac:dyDescent="0.25">
      <c r="A44" s="3">
        <v>44</v>
      </c>
      <c r="B44" s="3">
        <f>Codestufen!C45</f>
        <v>0</v>
      </c>
      <c r="C44" s="3">
        <f t="shared" si="0"/>
        <v>0</v>
      </c>
      <c r="D44" s="26" t="s">
        <v>41</v>
      </c>
      <c r="E44" s="26">
        <v>69</v>
      </c>
      <c r="F44" s="30" t="s">
        <v>46</v>
      </c>
      <c r="G44" s="25">
        <v>4</v>
      </c>
      <c r="H44" s="26">
        <f>IF(TRIM(F44)="",0,1)</f>
        <v>1</v>
      </c>
      <c r="I44" s="26">
        <f>COUNT(G44:G44)</f>
        <v>1</v>
      </c>
      <c r="J44" s="26">
        <f>IF(I44 &gt;= H44,0,1)</f>
        <v>0</v>
      </c>
      <c r="K44" s="26">
        <f>IF(AND(I44 &gt; 0,H44=0),1,0)</f>
        <v>0</v>
      </c>
      <c r="L44" s="26"/>
      <c r="M44" s="26"/>
      <c r="N44" s="26"/>
      <c r="O44" s="26"/>
      <c r="P44" s="26"/>
      <c r="Q44" s="26"/>
      <c r="R44" s="26"/>
      <c r="S44" s="26"/>
      <c r="T44" s="26"/>
    </row>
    <row r="45" spans="1:20" x14ac:dyDescent="0.25">
      <c r="A45" s="3">
        <v>45</v>
      </c>
      <c r="B45" s="3">
        <f>Codestufen!C46</f>
        <v>0</v>
      </c>
      <c r="C45" s="3">
        <f t="shared" si="0"/>
        <v>0</v>
      </c>
      <c r="D45" s="26" t="s">
        <v>41</v>
      </c>
      <c r="E45" s="26">
        <v>98</v>
      </c>
      <c r="F45" s="30" t="s">
        <v>46</v>
      </c>
      <c r="G45" s="25">
        <v>4</v>
      </c>
      <c r="H45" s="26">
        <f>IF(TRIM(F45)="",0,1)</f>
        <v>1</v>
      </c>
      <c r="I45" s="26">
        <f>COUNT(G45:G45)</f>
        <v>1</v>
      </c>
      <c r="J45" s="26">
        <f>IF(I45 &gt;= H45,0,1)</f>
        <v>0</v>
      </c>
      <c r="K45" s="26">
        <f>IF(AND(I45 &gt; 0,H45=0),1,0)</f>
        <v>0</v>
      </c>
      <c r="L45" s="26"/>
      <c r="M45" s="26"/>
      <c r="N45" s="26"/>
      <c r="O45" s="26"/>
      <c r="P45" s="26"/>
      <c r="Q45" s="26"/>
      <c r="R45" s="26"/>
      <c r="S45" s="26"/>
      <c r="T45" s="26"/>
    </row>
    <row r="46" spans="1:20" x14ac:dyDescent="0.25">
      <c r="A46" s="3">
        <v>46</v>
      </c>
      <c r="B46" s="3">
        <f>Codestufen!C47</f>
        <v>0</v>
      </c>
      <c r="C46" s="3">
        <f t="shared" si="0"/>
        <v>0</v>
      </c>
      <c r="D46" s="26" t="s">
        <v>41</v>
      </c>
      <c r="E46" s="26">
        <v>5</v>
      </c>
      <c r="F46" s="30" t="s">
        <v>45</v>
      </c>
      <c r="G46" s="25">
        <v>2</v>
      </c>
      <c r="H46" s="26">
        <f>IF(TRIM(F46)="",0,1)</f>
        <v>1</v>
      </c>
      <c r="I46" s="26">
        <f>COUNT(G46:G46)</f>
        <v>1</v>
      </c>
      <c r="J46" s="26">
        <f>IF(I46 &gt;= H46,0,1)</f>
        <v>0</v>
      </c>
      <c r="K46" s="26">
        <f>IF(AND(I46 &gt; 0,H46=0),1,0)</f>
        <v>0</v>
      </c>
      <c r="L46" s="26"/>
      <c r="M46" s="26"/>
      <c r="N46" s="26"/>
      <c r="O46" s="26"/>
      <c r="P46" s="26"/>
      <c r="Q46" s="26"/>
      <c r="R46" s="26"/>
      <c r="S46" s="26"/>
      <c r="T46" s="26"/>
    </row>
    <row r="47" spans="1:20" x14ac:dyDescent="0.25">
      <c r="A47" s="3">
        <v>47</v>
      </c>
      <c r="B47" s="3">
        <f>Codestufen!C48</f>
        <v>0</v>
      </c>
      <c r="C47" s="3">
        <f t="shared" si="0"/>
        <v>0</v>
      </c>
      <c r="D47" s="26" t="s">
        <v>41</v>
      </c>
      <c r="E47" s="26">
        <v>11</v>
      </c>
      <c r="F47" s="30" t="s">
        <v>45</v>
      </c>
      <c r="G47" s="25">
        <v>2</v>
      </c>
      <c r="H47" s="26">
        <f>IF(TRIM(F47)="",0,1)</f>
        <v>1</v>
      </c>
      <c r="I47" s="26">
        <f>COUNT(G47:G47)</f>
        <v>1</v>
      </c>
      <c r="J47" s="26">
        <f>IF(I47 &gt;= H47,0,1)</f>
        <v>0</v>
      </c>
      <c r="K47" s="26">
        <f>IF(AND(I47 &gt; 0,H47=0),1,0)</f>
        <v>0</v>
      </c>
      <c r="L47" s="26"/>
      <c r="M47" s="26"/>
      <c r="N47" s="26"/>
      <c r="O47" s="26"/>
      <c r="P47" s="26"/>
      <c r="Q47" s="26"/>
      <c r="R47" s="26"/>
      <c r="S47" s="26"/>
      <c r="T47" s="26"/>
    </row>
    <row r="48" spans="1:20" x14ac:dyDescent="0.25">
      <c r="A48" s="3">
        <v>48</v>
      </c>
      <c r="B48" s="3">
        <f>Codestufen!C49</f>
        <v>0</v>
      </c>
      <c r="C48" s="3">
        <f t="shared" si="0"/>
        <v>0</v>
      </c>
      <c r="D48" s="26" t="s">
        <v>41</v>
      </c>
      <c r="E48" s="26">
        <v>19</v>
      </c>
      <c r="F48" s="30" t="s">
        <v>45</v>
      </c>
      <c r="G48" s="25">
        <v>2</v>
      </c>
      <c r="H48" s="26">
        <f>IF(TRIM(F48)="",0,1)</f>
        <v>1</v>
      </c>
      <c r="I48" s="26">
        <f>COUNT(G48:G48)</f>
        <v>1</v>
      </c>
      <c r="J48" s="26">
        <f>IF(I48 &gt;= H48,0,1)</f>
        <v>0</v>
      </c>
      <c r="K48" s="26">
        <f>IF(AND(I48 &gt; 0,H48=0),1,0)</f>
        <v>0</v>
      </c>
      <c r="L48" s="26"/>
      <c r="M48" s="26"/>
      <c r="N48" s="26"/>
      <c r="O48" s="26"/>
      <c r="P48" s="26"/>
      <c r="Q48" s="26"/>
      <c r="R48" s="26"/>
      <c r="S48" s="26"/>
      <c r="T48" s="26"/>
    </row>
    <row r="49" spans="1:20" x14ac:dyDescent="0.25">
      <c r="A49" s="3">
        <v>49</v>
      </c>
      <c r="B49" s="3">
        <f>Codestufen!C50</f>
        <v>0</v>
      </c>
      <c r="C49" s="3">
        <f t="shared" si="0"/>
        <v>0</v>
      </c>
      <c r="D49" s="26" t="s">
        <v>41</v>
      </c>
      <c r="E49" s="26">
        <v>29</v>
      </c>
      <c r="F49" s="30" t="s">
        <v>45</v>
      </c>
      <c r="G49" s="25">
        <v>2</v>
      </c>
      <c r="H49" s="26">
        <f>IF(TRIM(F49)="",0,1)</f>
        <v>1</v>
      </c>
      <c r="I49" s="26">
        <f>COUNT(G49:G49)</f>
        <v>1</v>
      </c>
      <c r="J49" s="26">
        <f>IF(I49 &gt;= H49,0,1)</f>
        <v>0</v>
      </c>
      <c r="K49" s="26">
        <f>IF(AND(I49 &gt; 0,H49=0),1,0)</f>
        <v>0</v>
      </c>
      <c r="L49" s="26"/>
      <c r="M49" s="26"/>
      <c r="N49" s="26"/>
      <c r="O49" s="26"/>
      <c r="P49" s="26"/>
      <c r="Q49" s="26"/>
      <c r="R49" s="26"/>
      <c r="S49" s="26"/>
      <c r="T49" s="26"/>
    </row>
    <row r="50" spans="1:20" x14ac:dyDescent="0.25">
      <c r="A50" s="3">
        <v>50</v>
      </c>
      <c r="B50" s="3">
        <f>Codestufen!C51</f>
        <v>0</v>
      </c>
      <c r="C50" s="3">
        <f t="shared" si="0"/>
        <v>0</v>
      </c>
      <c r="D50" s="26" t="s">
        <v>41</v>
      </c>
      <c r="E50" s="26">
        <v>41</v>
      </c>
      <c r="F50" s="30" t="s">
        <v>45</v>
      </c>
      <c r="G50" s="25">
        <v>2</v>
      </c>
      <c r="H50" s="26">
        <f>IF(TRIM(F50)="",0,1)</f>
        <v>1</v>
      </c>
      <c r="I50" s="26">
        <f>COUNT(G50:G50)</f>
        <v>1</v>
      </c>
      <c r="J50" s="26">
        <f>IF(I50 &gt;= H50,0,1)</f>
        <v>0</v>
      </c>
      <c r="K50" s="26">
        <f>IF(AND(I50 &gt; 0,H50=0),1,0)</f>
        <v>0</v>
      </c>
      <c r="L50" s="26"/>
      <c r="M50" s="26"/>
      <c r="N50" s="26"/>
      <c r="O50" s="26"/>
      <c r="P50" s="26"/>
      <c r="Q50" s="26"/>
      <c r="R50" s="26"/>
      <c r="S50" s="26"/>
      <c r="T50" s="26"/>
    </row>
    <row r="51" spans="1:20" x14ac:dyDescent="0.25">
      <c r="A51" s="3">
        <v>51</v>
      </c>
      <c r="B51" s="3">
        <f>Codestufen!C52</f>
        <v>0</v>
      </c>
      <c r="C51" s="3">
        <f t="shared" si="0"/>
        <v>0</v>
      </c>
      <c r="D51" s="26" t="s">
        <v>41</v>
      </c>
      <c r="E51" s="26">
        <v>46</v>
      </c>
      <c r="F51" s="30" t="s">
        <v>45</v>
      </c>
      <c r="G51" s="25">
        <v>2</v>
      </c>
      <c r="H51" s="26">
        <f>IF(TRIM(F51)="",0,1)</f>
        <v>1</v>
      </c>
      <c r="I51" s="26">
        <f>COUNT(G51:G51)</f>
        <v>1</v>
      </c>
      <c r="J51" s="26">
        <f>IF(I51 &gt;= H51,0,1)</f>
        <v>0</v>
      </c>
      <c r="K51" s="26">
        <f>IF(AND(I51 &gt; 0,H51=0),1,0)</f>
        <v>0</v>
      </c>
      <c r="L51" s="26"/>
      <c r="M51" s="26"/>
      <c r="N51" s="26"/>
      <c r="O51" s="26"/>
      <c r="P51" s="26"/>
      <c r="Q51" s="26"/>
      <c r="R51" s="26"/>
      <c r="S51" s="26"/>
      <c r="T51" s="26"/>
    </row>
    <row r="52" spans="1:20" x14ac:dyDescent="0.25">
      <c r="A52" s="3">
        <v>52</v>
      </c>
      <c r="B52" s="3">
        <f>Codestufen!C53</f>
        <v>0</v>
      </c>
      <c r="C52" s="3">
        <f t="shared" si="0"/>
        <v>0</v>
      </c>
      <c r="D52" s="26" t="s">
        <v>41</v>
      </c>
      <c r="E52" s="26">
        <v>51</v>
      </c>
      <c r="F52" s="30" t="s">
        <v>45</v>
      </c>
      <c r="G52" s="25">
        <v>2</v>
      </c>
      <c r="H52" s="26">
        <f>IF(TRIM(F52)="",0,1)</f>
        <v>1</v>
      </c>
      <c r="I52" s="26">
        <f>COUNT(G52:G52)</f>
        <v>1</v>
      </c>
      <c r="J52" s="26">
        <f>IF(I52 &gt;= H52,0,1)</f>
        <v>0</v>
      </c>
      <c r="K52" s="26">
        <f>IF(AND(I52 &gt; 0,H52=0),1,0)</f>
        <v>0</v>
      </c>
      <c r="L52" s="26"/>
      <c r="M52" s="26"/>
      <c r="N52" s="26"/>
      <c r="O52" s="26"/>
      <c r="P52" s="26"/>
      <c r="Q52" s="26"/>
      <c r="R52" s="26"/>
      <c r="S52" s="26"/>
      <c r="T52" s="26"/>
    </row>
    <row r="53" spans="1:20" x14ac:dyDescent="0.25">
      <c r="A53" s="3">
        <v>53</v>
      </c>
      <c r="B53" s="3">
        <f>Codestufen!C54</f>
        <v>0</v>
      </c>
      <c r="C53" s="3">
        <f t="shared" si="0"/>
        <v>0</v>
      </c>
      <c r="D53" s="26" t="s">
        <v>41</v>
      </c>
      <c r="E53" s="26">
        <v>57</v>
      </c>
      <c r="F53" s="30" t="s">
        <v>45</v>
      </c>
      <c r="G53" s="25">
        <v>2</v>
      </c>
      <c r="H53" s="26">
        <f>IF(TRIM(F53)="",0,1)</f>
        <v>1</v>
      </c>
      <c r="I53" s="26">
        <f>COUNT(G53:G53)</f>
        <v>1</v>
      </c>
      <c r="J53" s="26">
        <f>IF(I53 &gt;= H53,0,1)</f>
        <v>0</v>
      </c>
      <c r="K53" s="26">
        <f>IF(AND(I53 &gt; 0,H53=0),1,0)</f>
        <v>0</v>
      </c>
      <c r="L53" s="26"/>
      <c r="M53" s="26"/>
      <c r="N53" s="26"/>
      <c r="O53" s="26"/>
      <c r="P53" s="26"/>
      <c r="Q53" s="26"/>
      <c r="R53" s="26"/>
      <c r="S53" s="26"/>
      <c r="T53" s="26"/>
    </row>
    <row r="54" spans="1:20" x14ac:dyDescent="0.25">
      <c r="A54" s="3">
        <v>54</v>
      </c>
      <c r="B54" s="3">
        <f>Codestufen!C55</f>
        <v>0</v>
      </c>
      <c r="C54" s="3">
        <f t="shared" si="0"/>
        <v>0</v>
      </c>
      <c r="D54" s="26" t="s">
        <v>41</v>
      </c>
      <c r="E54" s="26">
        <v>61</v>
      </c>
      <c r="F54" s="30" t="s">
        <v>45</v>
      </c>
      <c r="G54" s="25">
        <v>2</v>
      </c>
      <c r="H54" s="26">
        <f>IF(TRIM(F54)="",0,1)</f>
        <v>1</v>
      </c>
      <c r="I54" s="26">
        <f>COUNT(G54:G54)</f>
        <v>1</v>
      </c>
      <c r="J54" s="26">
        <f>IF(I54 &gt;= H54,0,1)</f>
        <v>0</v>
      </c>
      <c r="K54" s="26">
        <f>IF(AND(I54 &gt; 0,H54=0),1,0)</f>
        <v>0</v>
      </c>
      <c r="L54" s="26"/>
      <c r="M54" s="26"/>
      <c r="N54" s="26"/>
      <c r="O54" s="26"/>
      <c r="P54" s="26"/>
      <c r="Q54" s="26"/>
      <c r="R54" s="26"/>
      <c r="S54" s="26"/>
      <c r="T54" s="26"/>
    </row>
    <row r="55" spans="1:20" x14ac:dyDescent="0.25">
      <c r="A55" s="3">
        <v>55</v>
      </c>
      <c r="B55" s="3">
        <f>Codestufen!C56</f>
        <v>0</v>
      </c>
      <c r="C55" s="3">
        <f t="shared" si="0"/>
        <v>0</v>
      </c>
      <c r="D55" s="26" t="s">
        <v>41</v>
      </c>
      <c r="E55" s="26">
        <v>63</v>
      </c>
      <c r="F55" s="30" t="s">
        <v>45</v>
      </c>
      <c r="G55" s="25">
        <v>2</v>
      </c>
      <c r="H55" s="26">
        <f>IF(TRIM(F55)="",0,1)</f>
        <v>1</v>
      </c>
      <c r="I55" s="26">
        <f>COUNT(G55:G55)</f>
        <v>1</v>
      </c>
      <c r="J55" s="26">
        <f>IF(I55 &gt;= H55,0,1)</f>
        <v>0</v>
      </c>
      <c r="K55" s="26">
        <f>IF(AND(I55 &gt; 0,H55=0),1,0)</f>
        <v>0</v>
      </c>
      <c r="L55" s="26"/>
      <c r="M55" s="26"/>
      <c r="N55" s="26"/>
      <c r="O55" s="26"/>
      <c r="P55" s="26"/>
      <c r="Q55" s="26"/>
      <c r="R55" s="26"/>
      <c r="S55" s="26"/>
      <c r="T55" s="26"/>
    </row>
    <row r="56" spans="1:20" x14ac:dyDescent="0.25">
      <c r="A56" s="3">
        <v>56</v>
      </c>
      <c r="B56" s="3">
        <f>Codestufen!C57</f>
        <v>0</v>
      </c>
      <c r="C56" s="3">
        <f t="shared" si="0"/>
        <v>0</v>
      </c>
      <c r="D56" s="26" t="s">
        <v>41</v>
      </c>
      <c r="E56" s="26">
        <v>73</v>
      </c>
      <c r="F56" s="30" t="s">
        <v>45</v>
      </c>
      <c r="G56" s="25">
        <v>2</v>
      </c>
      <c r="H56" s="26">
        <f>IF(TRIM(F56)="",0,1)</f>
        <v>1</v>
      </c>
      <c r="I56" s="26">
        <f>COUNT(G56:G56)</f>
        <v>1</v>
      </c>
      <c r="J56" s="26">
        <f>IF(I56 &gt;= H56,0,1)</f>
        <v>0</v>
      </c>
      <c r="K56" s="26">
        <f>IF(AND(I56 &gt; 0,H56=0),1,0)</f>
        <v>0</v>
      </c>
      <c r="L56" s="26"/>
      <c r="M56" s="26"/>
      <c r="N56" s="26"/>
      <c r="O56" s="26"/>
      <c r="P56" s="26"/>
      <c r="Q56" s="26"/>
      <c r="R56" s="26"/>
      <c r="S56" s="26"/>
      <c r="T56" s="26"/>
    </row>
    <row r="57" spans="1:20" x14ac:dyDescent="0.25">
      <c r="A57" s="3">
        <v>57</v>
      </c>
      <c r="B57" s="3">
        <f>Codestufen!C58</f>
        <v>0</v>
      </c>
      <c r="C57" s="3">
        <f t="shared" si="0"/>
        <v>0</v>
      </c>
      <c r="D57" s="26" t="s">
        <v>41</v>
      </c>
      <c r="E57" s="26">
        <v>75</v>
      </c>
      <c r="F57" s="30" t="s">
        <v>45</v>
      </c>
      <c r="G57" s="25">
        <v>2</v>
      </c>
      <c r="H57" s="26">
        <f>IF(TRIM(F57)="",0,1)</f>
        <v>1</v>
      </c>
      <c r="I57" s="26">
        <f>COUNT(G57:G57)</f>
        <v>1</v>
      </c>
      <c r="J57" s="26">
        <f>IF(I57 &gt;= H57,0,1)</f>
        <v>0</v>
      </c>
      <c r="K57" s="26">
        <f>IF(AND(I57 &gt; 0,H57=0),1,0)</f>
        <v>0</v>
      </c>
      <c r="L57" s="26"/>
      <c r="M57" s="26"/>
      <c r="N57" s="26"/>
      <c r="O57" s="26"/>
      <c r="P57" s="26"/>
      <c r="Q57" s="26"/>
      <c r="R57" s="26"/>
      <c r="S57" s="26"/>
      <c r="T57" s="26"/>
    </row>
    <row r="58" spans="1:20" x14ac:dyDescent="0.25">
      <c r="A58" s="3">
        <v>58</v>
      </c>
      <c r="B58" s="3">
        <f>Codestufen!C59</f>
        <v>0</v>
      </c>
      <c r="C58" s="3">
        <f t="shared" si="0"/>
        <v>0</v>
      </c>
      <c r="D58" s="26" t="s">
        <v>41</v>
      </c>
      <c r="E58" s="26">
        <v>84</v>
      </c>
      <c r="F58" s="30" t="s">
        <v>45</v>
      </c>
      <c r="G58" s="25">
        <v>2</v>
      </c>
      <c r="H58" s="26">
        <f>IF(TRIM(F58)="",0,1)</f>
        <v>1</v>
      </c>
      <c r="I58" s="26">
        <f>COUNT(G58:G58)</f>
        <v>1</v>
      </c>
      <c r="J58" s="26">
        <f>IF(I58 &gt;= H58,0,1)</f>
        <v>0</v>
      </c>
      <c r="K58" s="26">
        <f>IF(AND(I58 &gt; 0,H58=0),1,0)</f>
        <v>0</v>
      </c>
      <c r="L58" s="26"/>
      <c r="M58" s="26"/>
      <c r="N58" s="26"/>
      <c r="O58" s="26"/>
      <c r="P58" s="26"/>
      <c r="Q58" s="26"/>
      <c r="R58" s="26"/>
      <c r="S58" s="26"/>
      <c r="T58" s="26"/>
    </row>
    <row r="59" spans="1:20" x14ac:dyDescent="0.25">
      <c r="A59" s="3">
        <v>59</v>
      </c>
      <c r="B59" s="3">
        <f>Codestufen!C60</f>
        <v>0</v>
      </c>
      <c r="C59" s="3">
        <f t="shared" si="0"/>
        <v>0</v>
      </c>
      <c r="D59" s="26" t="s">
        <v>41</v>
      </c>
      <c r="E59" s="26">
        <v>92</v>
      </c>
      <c r="F59" s="30" t="s">
        <v>45</v>
      </c>
      <c r="G59" s="25">
        <v>2</v>
      </c>
      <c r="H59" s="26">
        <f>IF(TRIM(F59)="",0,1)</f>
        <v>1</v>
      </c>
      <c r="I59" s="26">
        <f>COUNT(G59:G59)</f>
        <v>1</v>
      </c>
      <c r="J59" s="26">
        <f>IF(I59 &gt;= H59,0,1)</f>
        <v>0</v>
      </c>
      <c r="K59" s="26">
        <f>IF(AND(I59 &gt; 0,H59=0),1,0)</f>
        <v>0</v>
      </c>
      <c r="L59" s="26"/>
      <c r="M59" s="26"/>
      <c r="N59" s="26"/>
      <c r="O59" s="26"/>
      <c r="P59" s="26"/>
      <c r="Q59" s="26"/>
      <c r="R59" s="26"/>
      <c r="S59" s="26"/>
      <c r="T59" s="26"/>
    </row>
    <row r="60" spans="1:20" x14ac:dyDescent="0.25">
      <c r="A60" s="3">
        <v>60</v>
      </c>
      <c r="B60" s="3">
        <f>Codestufen!C61</f>
        <v>0</v>
      </c>
      <c r="C60" s="3">
        <f t="shared" si="0"/>
        <v>0</v>
      </c>
      <c r="D60" s="26" t="s">
        <v>41</v>
      </c>
      <c r="E60" s="26">
        <v>7</v>
      </c>
      <c r="F60" s="30" t="s">
        <v>47</v>
      </c>
      <c r="G60" s="25">
        <v>1</v>
      </c>
      <c r="H60" s="26">
        <f>IF(TRIM(F60)="",0,1)</f>
        <v>1</v>
      </c>
      <c r="I60" s="26">
        <f>COUNT(G60:G60)</f>
        <v>1</v>
      </c>
      <c r="J60" s="26">
        <f>IF(I60 &gt;= H60,0,1)</f>
        <v>0</v>
      </c>
      <c r="K60" s="26">
        <f>IF(AND(I60 &gt; 0,H60=0),1,0)</f>
        <v>0</v>
      </c>
      <c r="L60" s="26"/>
      <c r="M60" s="26"/>
      <c r="N60" s="26"/>
      <c r="O60" s="26"/>
      <c r="P60" s="26"/>
      <c r="Q60" s="26"/>
      <c r="R60" s="26"/>
      <c r="S60" s="26"/>
      <c r="T60" s="26"/>
    </row>
    <row r="61" spans="1:20" x14ac:dyDescent="0.25">
      <c r="A61" s="3">
        <v>61</v>
      </c>
      <c r="B61" s="3">
        <f>Codestufen!C62</f>
        <v>0</v>
      </c>
      <c r="C61" s="3">
        <f t="shared" si="0"/>
        <v>0</v>
      </c>
      <c r="D61" s="26" t="s">
        <v>41</v>
      </c>
      <c r="E61" s="26">
        <v>9</v>
      </c>
      <c r="F61" s="30" t="s">
        <v>47</v>
      </c>
      <c r="G61" s="25">
        <v>1</v>
      </c>
      <c r="H61" s="26">
        <f>IF(TRIM(F61)="",0,1)</f>
        <v>1</v>
      </c>
      <c r="I61" s="26">
        <f>COUNT(G61:G61)</f>
        <v>1</v>
      </c>
      <c r="J61" s="26">
        <f>IF(I61 &gt;= H61,0,1)</f>
        <v>0</v>
      </c>
      <c r="K61" s="26">
        <f>IF(AND(I61 &gt; 0,H61=0),1,0)</f>
        <v>0</v>
      </c>
      <c r="L61" s="26"/>
      <c r="M61" s="26"/>
      <c r="N61" s="26"/>
      <c r="O61" s="26"/>
      <c r="P61" s="26"/>
      <c r="Q61" s="26"/>
      <c r="R61" s="26"/>
      <c r="S61" s="26"/>
      <c r="T61" s="26"/>
    </row>
    <row r="62" spans="1:20" x14ac:dyDescent="0.25">
      <c r="A62" s="3">
        <v>62</v>
      </c>
      <c r="B62" s="3">
        <f>Codestufen!C63</f>
        <v>0</v>
      </c>
      <c r="C62" s="3">
        <f t="shared" si="0"/>
        <v>0</v>
      </c>
      <c r="D62" s="26" t="s">
        <v>41</v>
      </c>
      <c r="E62" s="26">
        <v>13</v>
      </c>
      <c r="F62" s="30" t="s">
        <v>47</v>
      </c>
      <c r="G62" s="25">
        <v>1</v>
      </c>
      <c r="H62" s="26">
        <f>IF(TRIM(F62)="",0,1)</f>
        <v>1</v>
      </c>
      <c r="I62" s="26">
        <f>COUNT(G62:G62)</f>
        <v>1</v>
      </c>
      <c r="J62" s="26">
        <f>IF(I62 &gt;= H62,0,1)</f>
        <v>0</v>
      </c>
      <c r="K62" s="26">
        <f>IF(AND(I62 &gt; 0,H62=0),1,0)</f>
        <v>0</v>
      </c>
      <c r="L62" s="26"/>
      <c r="M62" s="26"/>
      <c r="N62" s="26"/>
      <c r="O62" s="26"/>
      <c r="P62" s="26"/>
      <c r="Q62" s="26"/>
      <c r="R62" s="26"/>
      <c r="S62" s="26"/>
      <c r="T62" s="26"/>
    </row>
    <row r="63" spans="1:20" x14ac:dyDescent="0.25">
      <c r="A63" s="3">
        <v>63</v>
      </c>
      <c r="B63" s="3">
        <f>Codestufen!C64</f>
        <v>0</v>
      </c>
      <c r="C63" s="3">
        <f t="shared" si="0"/>
        <v>0</v>
      </c>
      <c r="D63" s="26" t="s">
        <v>41</v>
      </c>
      <c r="E63" s="26">
        <v>16</v>
      </c>
      <c r="F63" s="30" t="s">
        <v>47</v>
      </c>
      <c r="G63" s="25">
        <v>1</v>
      </c>
      <c r="H63" s="26">
        <f>IF(TRIM(F63)="",0,1)</f>
        <v>1</v>
      </c>
      <c r="I63" s="26">
        <f>COUNT(G63:G63)</f>
        <v>1</v>
      </c>
      <c r="J63" s="26">
        <f>IF(I63 &gt;= H63,0,1)</f>
        <v>0</v>
      </c>
      <c r="K63" s="26">
        <f>IF(AND(I63 &gt; 0,H63=0),1,0)</f>
        <v>0</v>
      </c>
      <c r="L63" s="26"/>
      <c r="M63" s="26"/>
      <c r="N63" s="26"/>
      <c r="O63" s="26"/>
      <c r="P63" s="26"/>
      <c r="Q63" s="26"/>
      <c r="R63" s="26"/>
      <c r="S63" s="26"/>
      <c r="T63" s="26"/>
    </row>
    <row r="64" spans="1:20" x14ac:dyDescent="0.25">
      <c r="A64" s="3">
        <v>64</v>
      </c>
      <c r="B64" s="3">
        <f>Codestufen!C65</f>
        <v>0</v>
      </c>
      <c r="C64" s="3">
        <f t="shared" si="0"/>
        <v>0</v>
      </c>
      <c r="D64" s="26" t="s">
        <v>41</v>
      </c>
      <c r="E64" s="26">
        <v>32</v>
      </c>
      <c r="F64" s="30" t="s">
        <v>47</v>
      </c>
      <c r="G64" s="25">
        <v>1</v>
      </c>
      <c r="H64" s="26">
        <f>IF(TRIM(F64)="",0,1)</f>
        <v>1</v>
      </c>
      <c r="I64" s="26">
        <f>COUNT(G64:G64)</f>
        <v>1</v>
      </c>
      <c r="J64" s="26">
        <f>IF(I64 &gt;= H64,0,1)</f>
        <v>0</v>
      </c>
      <c r="K64" s="26">
        <f>IF(AND(I64 &gt; 0,H64=0),1,0)</f>
        <v>0</v>
      </c>
      <c r="L64" s="26"/>
      <c r="M64" s="26"/>
      <c r="N64" s="26"/>
      <c r="O64" s="26"/>
      <c r="P64" s="26"/>
      <c r="Q64" s="26"/>
      <c r="R64" s="26"/>
      <c r="S64" s="26"/>
      <c r="T64" s="26"/>
    </row>
    <row r="65" spans="1:20" x14ac:dyDescent="0.25">
      <c r="A65" s="3">
        <v>65</v>
      </c>
      <c r="B65" s="3">
        <f>Codestufen!C66</f>
        <v>0</v>
      </c>
      <c r="C65" s="3">
        <f t="shared" si="0"/>
        <v>0</v>
      </c>
      <c r="D65" s="26" t="s">
        <v>41</v>
      </c>
      <c r="E65" s="26">
        <v>48</v>
      </c>
      <c r="F65" s="30" t="s">
        <v>47</v>
      </c>
      <c r="G65" s="25">
        <v>1</v>
      </c>
      <c r="H65" s="26">
        <f>IF(TRIM(F65)="",0,1)</f>
        <v>1</v>
      </c>
      <c r="I65" s="26">
        <f>COUNT(G65:G65)</f>
        <v>1</v>
      </c>
      <c r="J65" s="26">
        <f>IF(I65 &gt;= H65,0,1)</f>
        <v>0</v>
      </c>
      <c r="K65" s="26">
        <f>IF(AND(I65 &gt; 0,H65=0),1,0)</f>
        <v>0</v>
      </c>
      <c r="L65" s="26"/>
      <c r="M65" s="26"/>
      <c r="N65" s="26"/>
      <c r="O65" s="26"/>
      <c r="P65" s="26"/>
      <c r="Q65" s="26"/>
      <c r="R65" s="26"/>
      <c r="S65" s="26"/>
      <c r="T65" s="26"/>
    </row>
    <row r="66" spans="1:20" x14ac:dyDescent="0.25">
      <c r="A66" s="3">
        <v>66</v>
      </c>
      <c r="B66" s="3">
        <f>Codestufen!C67</f>
        <v>0</v>
      </c>
      <c r="C66" s="3">
        <f t="shared" ref="C66:C100" si="2">COUNTIF(V_W_Q7_Zuord,A66)</f>
        <v>0</v>
      </c>
      <c r="D66" s="26" t="s">
        <v>41</v>
      </c>
      <c r="E66" s="26">
        <v>59</v>
      </c>
      <c r="F66" s="30" t="s">
        <v>47</v>
      </c>
      <c r="G66" s="25">
        <v>1</v>
      </c>
      <c r="H66" s="26">
        <f>IF(TRIM(F66)="",0,1)</f>
        <v>1</v>
      </c>
      <c r="I66" s="26">
        <f>COUNT(G66:G66)</f>
        <v>1</v>
      </c>
      <c r="J66" s="26">
        <f>IF(I66 &gt;= H66,0,1)</f>
        <v>0</v>
      </c>
      <c r="K66" s="26">
        <f>IF(AND(I66 &gt; 0,H66=0),1,0)</f>
        <v>0</v>
      </c>
      <c r="L66" s="26"/>
      <c r="M66" s="26"/>
      <c r="N66" s="26"/>
      <c r="O66" s="26"/>
      <c r="P66" s="26"/>
      <c r="Q66" s="26"/>
      <c r="R66" s="26"/>
      <c r="S66" s="26"/>
      <c r="T66" s="26"/>
    </row>
    <row r="67" spans="1:20" x14ac:dyDescent="0.25">
      <c r="A67" s="3">
        <v>67</v>
      </c>
      <c r="B67" s="3">
        <f>Codestufen!C68</f>
        <v>0</v>
      </c>
      <c r="C67" s="3">
        <f t="shared" si="2"/>
        <v>0</v>
      </c>
      <c r="D67" s="26" t="s">
        <v>41</v>
      </c>
      <c r="E67" s="26">
        <v>79</v>
      </c>
      <c r="F67" s="30" t="s">
        <v>47</v>
      </c>
      <c r="G67" s="25">
        <v>1</v>
      </c>
      <c r="H67" s="26">
        <f>IF(TRIM(F67)="",0,1)</f>
        <v>1</v>
      </c>
      <c r="I67" s="26">
        <f>COUNT(G67:G67)</f>
        <v>1</v>
      </c>
      <c r="J67" s="26">
        <f>IF(I67 &gt;= H67,0,1)</f>
        <v>0</v>
      </c>
      <c r="K67" s="26">
        <f>IF(AND(I67 &gt; 0,H67=0),1,0)</f>
        <v>0</v>
      </c>
      <c r="L67" s="26"/>
      <c r="M67" s="26"/>
      <c r="N67" s="26"/>
      <c r="O67" s="26"/>
      <c r="P67" s="26"/>
      <c r="Q67" s="26"/>
      <c r="R67" s="26"/>
      <c r="S67" s="26"/>
      <c r="T67" s="26"/>
    </row>
    <row r="68" spans="1:20" x14ac:dyDescent="0.25">
      <c r="A68" s="3">
        <v>68</v>
      </c>
      <c r="B68" s="3">
        <f>Codestufen!C69</f>
        <v>0</v>
      </c>
      <c r="C68" s="3">
        <f t="shared" si="2"/>
        <v>0</v>
      </c>
      <c r="D68" s="26" t="s">
        <v>41</v>
      </c>
      <c r="E68" s="26">
        <v>82</v>
      </c>
      <c r="F68" s="30" t="s">
        <v>47</v>
      </c>
      <c r="G68" s="25">
        <v>1</v>
      </c>
      <c r="H68" s="26">
        <f>IF(TRIM(F68)="",0,1)</f>
        <v>1</v>
      </c>
      <c r="I68" s="26">
        <f>COUNT(G68:G68)</f>
        <v>1</v>
      </c>
      <c r="J68" s="26">
        <f>IF(I68 &gt;= H68,0,1)</f>
        <v>0</v>
      </c>
      <c r="K68" s="26">
        <f>IF(AND(I68 &gt; 0,H68=0),1,0)</f>
        <v>0</v>
      </c>
      <c r="L68" s="26"/>
      <c r="M68" s="26"/>
      <c r="N68" s="26"/>
      <c r="O68" s="26"/>
      <c r="P68" s="26"/>
      <c r="Q68" s="26"/>
      <c r="R68" s="26"/>
      <c r="S68" s="26"/>
      <c r="T68" s="26"/>
    </row>
    <row r="69" spans="1:20" x14ac:dyDescent="0.25">
      <c r="A69" s="3">
        <v>69</v>
      </c>
      <c r="B69" s="3">
        <f>Codestufen!C70</f>
        <v>0</v>
      </c>
      <c r="C69" s="3">
        <f t="shared" si="2"/>
        <v>0</v>
      </c>
      <c r="D69" s="26" t="s">
        <v>41</v>
      </c>
      <c r="E69" s="26">
        <v>91</v>
      </c>
      <c r="F69" s="30" t="s">
        <v>47</v>
      </c>
      <c r="G69" s="25">
        <v>1</v>
      </c>
      <c r="H69" s="26">
        <f>IF(TRIM(F69)="",0,1)</f>
        <v>1</v>
      </c>
      <c r="I69" s="26">
        <f>COUNT(G69:G69)</f>
        <v>1</v>
      </c>
      <c r="J69" s="26">
        <f>IF(I69 &gt;= H69,0,1)</f>
        <v>0</v>
      </c>
      <c r="K69" s="26">
        <f>IF(AND(I69 &gt; 0,H69=0),1,0)</f>
        <v>0</v>
      </c>
      <c r="L69" s="26"/>
      <c r="M69" s="26"/>
      <c r="N69" s="26"/>
      <c r="O69" s="26"/>
      <c r="P69" s="26"/>
      <c r="Q69" s="26"/>
      <c r="R69" s="26"/>
      <c r="S69" s="26"/>
      <c r="T69" s="26"/>
    </row>
    <row r="70" spans="1:20" x14ac:dyDescent="0.25">
      <c r="A70" s="3">
        <v>70</v>
      </c>
      <c r="B70" s="3">
        <f>Codestufen!C71</f>
        <v>0</v>
      </c>
      <c r="C70" s="3">
        <f t="shared" si="2"/>
        <v>0</v>
      </c>
      <c r="D70" s="26" t="s">
        <v>41</v>
      </c>
      <c r="E70" s="26">
        <v>99</v>
      </c>
      <c r="F70" s="30" t="s">
        <v>47</v>
      </c>
      <c r="G70" s="25">
        <v>1</v>
      </c>
      <c r="H70" s="26">
        <f>IF(TRIM(F70)="",0,1)</f>
        <v>1</v>
      </c>
      <c r="I70" s="26">
        <f>COUNT(G70:G70)</f>
        <v>1</v>
      </c>
      <c r="J70" s="26">
        <f>IF(I70 &gt;= H70,0,1)</f>
        <v>0</v>
      </c>
      <c r="K70" s="26">
        <f>IF(AND(I70 &gt; 0,H70=0),1,0)</f>
        <v>0</v>
      </c>
      <c r="L70" s="26"/>
      <c r="M70" s="26"/>
      <c r="N70" s="26"/>
      <c r="O70" s="26"/>
      <c r="P70" s="26"/>
      <c r="Q70" s="26"/>
      <c r="R70" s="26"/>
      <c r="S70" s="26"/>
      <c r="T70" s="26"/>
    </row>
    <row r="71" spans="1:20" x14ac:dyDescent="0.25">
      <c r="A71" s="3">
        <v>71</v>
      </c>
      <c r="B71" s="3">
        <f>Codestufen!C72</f>
        <v>0</v>
      </c>
      <c r="C71" s="3">
        <f t="shared" si="2"/>
        <v>0</v>
      </c>
      <c r="D71" s="26" t="s">
        <v>41</v>
      </c>
      <c r="E71" s="26">
        <v>17</v>
      </c>
      <c r="F71" s="30" t="s">
        <v>49</v>
      </c>
      <c r="G71" s="25">
        <v>4</v>
      </c>
      <c r="H71" s="26">
        <f>IF(TRIM(F71)="",0,1)</f>
        <v>1</v>
      </c>
      <c r="I71" s="26">
        <f>COUNT(G71:G71)</f>
        <v>1</v>
      </c>
      <c r="J71" s="26">
        <f>IF(I71 &gt;= H71,0,1)</f>
        <v>0</v>
      </c>
      <c r="K71" s="26">
        <f>IF(AND(I71 &gt; 0,H71=0),1,0)</f>
        <v>0</v>
      </c>
      <c r="L71" s="26"/>
      <c r="M71" s="26"/>
      <c r="N71" s="26"/>
      <c r="O71" s="26"/>
      <c r="P71" s="26"/>
      <c r="Q71" s="26"/>
      <c r="R71" s="26"/>
      <c r="S71" s="26"/>
      <c r="T71" s="26"/>
    </row>
    <row r="72" spans="1:20" x14ac:dyDescent="0.25">
      <c r="A72" s="3">
        <v>72</v>
      </c>
      <c r="B72" s="3">
        <f>Codestufen!C73</f>
        <v>0</v>
      </c>
      <c r="C72" s="3">
        <f t="shared" si="2"/>
        <v>0</v>
      </c>
      <c r="D72" s="26" t="s">
        <v>41</v>
      </c>
      <c r="E72" s="26">
        <v>25</v>
      </c>
      <c r="F72" s="30" t="s">
        <v>49</v>
      </c>
      <c r="G72" s="25">
        <v>4</v>
      </c>
      <c r="H72" s="26">
        <f>IF(TRIM(F72)="",0,1)</f>
        <v>1</v>
      </c>
      <c r="I72" s="26">
        <f>COUNT(G72:G72)</f>
        <v>1</v>
      </c>
      <c r="J72" s="26">
        <f>IF(I72 &gt;= H72,0,1)</f>
        <v>0</v>
      </c>
      <c r="K72" s="26">
        <f>IF(AND(I72 &gt; 0,H72=0),1,0)</f>
        <v>0</v>
      </c>
      <c r="L72" s="26"/>
      <c r="M72" s="26"/>
      <c r="N72" s="26"/>
      <c r="O72" s="26"/>
      <c r="P72" s="26"/>
      <c r="Q72" s="26"/>
      <c r="R72" s="26"/>
      <c r="S72" s="26"/>
      <c r="T72" s="26"/>
    </row>
    <row r="73" spans="1:20" x14ac:dyDescent="0.25">
      <c r="A73" s="3">
        <v>73</v>
      </c>
      <c r="B73" s="3">
        <f>Codestufen!C74</f>
        <v>0</v>
      </c>
      <c r="C73" s="3">
        <f t="shared" si="2"/>
        <v>0</v>
      </c>
      <c r="D73" s="26" t="s">
        <v>41</v>
      </c>
      <c r="E73" s="26">
        <v>31</v>
      </c>
      <c r="F73" s="30" t="s">
        <v>49</v>
      </c>
      <c r="G73" s="25">
        <v>4</v>
      </c>
      <c r="H73" s="26">
        <f>IF(TRIM(F73)="",0,1)</f>
        <v>1</v>
      </c>
      <c r="I73" s="26">
        <f>COUNT(G73:G73)</f>
        <v>1</v>
      </c>
      <c r="J73" s="26">
        <f>IF(I73 &gt;= H73,0,1)</f>
        <v>0</v>
      </c>
      <c r="K73" s="26">
        <f>IF(AND(I73 &gt; 0,H73=0),1,0)</f>
        <v>0</v>
      </c>
      <c r="L73" s="26"/>
      <c r="M73" s="26"/>
      <c r="N73" s="26"/>
      <c r="O73" s="26"/>
      <c r="P73" s="26"/>
      <c r="Q73" s="26"/>
      <c r="R73" s="26"/>
      <c r="S73" s="26"/>
      <c r="T73" s="26"/>
    </row>
    <row r="74" spans="1:20" x14ac:dyDescent="0.25">
      <c r="A74" s="3">
        <v>74</v>
      </c>
      <c r="B74" s="3">
        <f>Codestufen!C75</f>
        <v>0</v>
      </c>
      <c r="C74" s="3">
        <f t="shared" si="2"/>
        <v>0</v>
      </c>
      <c r="D74" s="26" t="s">
        <v>41</v>
      </c>
      <c r="E74" s="26">
        <v>54</v>
      </c>
      <c r="F74" s="30" t="s">
        <v>49</v>
      </c>
      <c r="G74" s="25">
        <v>4</v>
      </c>
      <c r="H74" s="26">
        <f>IF(TRIM(F74)="",0,1)</f>
        <v>1</v>
      </c>
      <c r="I74" s="26">
        <f>COUNT(G74:G74)</f>
        <v>1</v>
      </c>
      <c r="J74" s="26">
        <f>IF(I74 &gt;= H74,0,1)</f>
        <v>0</v>
      </c>
      <c r="K74" s="26">
        <f>IF(AND(I74 &gt; 0,H74=0),1,0)</f>
        <v>0</v>
      </c>
      <c r="L74" s="26"/>
      <c r="M74" s="26"/>
      <c r="N74" s="26"/>
      <c r="O74" s="26"/>
      <c r="P74" s="26"/>
      <c r="Q74" s="26"/>
      <c r="R74" s="26"/>
      <c r="S74" s="26"/>
      <c r="T74" s="26"/>
    </row>
    <row r="75" spans="1:20" x14ac:dyDescent="0.25">
      <c r="A75" s="3">
        <v>75</v>
      </c>
      <c r="B75" s="3">
        <f>Codestufen!C76</f>
        <v>0</v>
      </c>
      <c r="C75" s="3">
        <f t="shared" si="2"/>
        <v>0</v>
      </c>
      <c r="D75" s="26" t="s">
        <v>41</v>
      </c>
      <c r="E75" s="26">
        <v>71</v>
      </c>
      <c r="F75" s="30" t="s">
        <v>49</v>
      </c>
      <c r="G75" s="25">
        <v>4</v>
      </c>
      <c r="H75" s="26">
        <f>IF(TRIM(F75)="",0,1)</f>
        <v>1</v>
      </c>
      <c r="I75" s="26">
        <f>COUNT(G75:G75)</f>
        <v>1</v>
      </c>
      <c r="J75" s="26">
        <f>IF(I75 &gt;= H75,0,1)</f>
        <v>0</v>
      </c>
      <c r="K75" s="26">
        <f>IF(AND(I75 &gt; 0,H75=0),1,0)</f>
        <v>0</v>
      </c>
      <c r="L75" s="26"/>
      <c r="M75" s="26"/>
      <c r="N75" s="26"/>
      <c r="O75" s="26"/>
      <c r="P75" s="26"/>
      <c r="Q75" s="26"/>
      <c r="R75" s="26"/>
      <c r="S75" s="26"/>
      <c r="T75" s="26"/>
    </row>
    <row r="76" spans="1:20" x14ac:dyDescent="0.25">
      <c r="A76" s="3">
        <v>76</v>
      </c>
      <c r="B76" s="3">
        <f>Codestufen!C77</f>
        <v>0</v>
      </c>
      <c r="C76" s="3">
        <f t="shared" si="2"/>
        <v>0</v>
      </c>
      <c r="D76" s="26" t="s">
        <v>41</v>
      </c>
      <c r="E76" s="26">
        <v>81</v>
      </c>
      <c r="F76" s="30" t="s">
        <v>49</v>
      </c>
      <c r="G76" s="25">
        <v>4</v>
      </c>
      <c r="H76" s="26">
        <f>IF(TRIM(F76)="",0,1)</f>
        <v>1</v>
      </c>
      <c r="I76" s="26">
        <f>COUNT(G76:G76)</f>
        <v>1</v>
      </c>
      <c r="J76" s="26">
        <f>IF(I76 &gt;= H76,0,1)</f>
        <v>0</v>
      </c>
      <c r="K76" s="26">
        <f>IF(AND(I76 &gt; 0,H76=0),1,0)</f>
        <v>0</v>
      </c>
      <c r="L76" s="26"/>
      <c r="M76" s="26"/>
      <c r="N76" s="26"/>
      <c r="O76" s="26"/>
      <c r="P76" s="26"/>
      <c r="Q76" s="26"/>
      <c r="R76" s="26"/>
      <c r="S76" s="26"/>
      <c r="T76" s="26"/>
    </row>
    <row r="77" spans="1:20" x14ac:dyDescent="0.25">
      <c r="A77" s="3">
        <v>77</v>
      </c>
      <c r="B77" s="3">
        <f>Codestufen!C78</f>
        <v>0</v>
      </c>
      <c r="C77" s="3">
        <f t="shared" si="2"/>
        <v>0</v>
      </c>
      <c r="D77" s="26" t="s">
        <v>41</v>
      </c>
      <c r="E77" s="26">
        <v>94</v>
      </c>
      <c r="F77" s="30" t="s">
        <v>49</v>
      </c>
      <c r="G77" s="25">
        <v>4</v>
      </c>
      <c r="H77" s="26">
        <f>IF(TRIM(F77)="",0,1)</f>
        <v>1</v>
      </c>
      <c r="I77" s="26">
        <f>COUNT(G77:G77)</f>
        <v>1</v>
      </c>
      <c r="J77" s="26">
        <f>IF(I77 &gt;= H77,0,1)</f>
        <v>0</v>
      </c>
      <c r="K77" s="26">
        <f>IF(AND(I77 &gt; 0,H77=0),1,0)</f>
        <v>0</v>
      </c>
      <c r="L77" s="26"/>
      <c r="M77" s="26"/>
      <c r="N77" s="26"/>
      <c r="O77" s="26"/>
      <c r="P77" s="26"/>
      <c r="Q77" s="26"/>
      <c r="R77" s="26"/>
      <c r="S77" s="26"/>
      <c r="T77" s="26"/>
    </row>
    <row r="78" spans="1:20" x14ac:dyDescent="0.25">
      <c r="A78" s="3">
        <v>78</v>
      </c>
      <c r="B78" s="3">
        <f>Codestufen!C79</f>
        <v>0</v>
      </c>
      <c r="C78" s="3">
        <f t="shared" si="2"/>
        <v>0</v>
      </c>
      <c r="D78" s="26" t="s">
        <v>41</v>
      </c>
      <c r="E78" s="26">
        <v>18</v>
      </c>
      <c r="F78" s="30" t="s">
        <v>50</v>
      </c>
      <c r="G78" s="25">
        <v>2</v>
      </c>
      <c r="H78" s="26">
        <f>IF(TRIM(F78)="",0,1)</f>
        <v>1</v>
      </c>
      <c r="I78" s="26">
        <f>COUNT(G78:G78)</f>
        <v>1</v>
      </c>
      <c r="J78" s="26">
        <f>IF(I78 &gt;= H78,0,1)</f>
        <v>0</v>
      </c>
      <c r="K78" s="26">
        <f>IF(AND(I78 &gt; 0,H78=0),1,0)</f>
        <v>0</v>
      </c>
      <c r="L78" s="26"/>
      <c r="M78" s="26"/>
      <c r="N78" s="26"/>
      <c r="O78" s="26"/>
      <c r="P78" s="26"/>
      <c r="Q78" s="26"/>
      <c r="R78" s="26"/>
      <c r="S78" s="26"/>
      <c r="T78" s="26"/>
    </row>
    <row r="79" spans="1:20" x14ac:dyDescent="0.25">
      <c r="A79" s="3">
        <v>79</v>
      </c>
      <c r="B79" s="3">
        <f>Codestufen!C80</f>
        <v>0</v>
      </c>
      <c r="C79" s="3">
        <f t="shared" si="2"/>
        <v>0</v>
      </c>
      <c r="D79" s="26" t="s">
        <v>41</v>
      </c>
      <c r="E79" s="26">
        <v>21</v>
      </c>
      <c r="F79" s="30" t="s">
        <v>50</v>
      </c>
      <c r="G79" s="25">
        <v>2</v>
      </c>
      <c r="H79" s="26">
        <f>IF(TRIM(F79)="",0,1)</f>
        <v>1</v>
      </c>
      <c r="I79" s="26">
        <f>COUNT(G79:G79)</f>
        <v>1</v>
      </c>
      <c r="J79" s="26">
        <f>IF(I79 &gt;= H79,0,1)</f>
        <v>0</v>
      </c>
      <c r="K79" s="26">
        <f>IF(AND(I79 &gt; 0,H79=0),1,0)</f>
        <v>0</v>
      </c>
      <c r="L79" s="26"/>
      <c r="M79" s="26"/>
      <c r="N79" s="26"/>
      <c r="O79" s="26"/>
      <c r="P79" s="26"/>
      <c r="Q79" s="26"/>
      <c r="R79" s="26"/>
      <c r="S79" s="26"/>
      <c r="T79" s="26"/>
    </row>
    <row r="80" spans="1:20" x14ac:dyDescent="0.25">
      <c r="A80" s="3">
        <v>80</v>
      </c>
      <c r="B80" s="3">
        <f>Codestufen!C81</f>
        <v>0</v>
      </c>
      <c r="C80" s="3">
        <f t="shared" si="2"/>
        <v>0</v>
      </c>
      <c r="D80" s="26" t="s">
        <v>41</v>
      </c>
      <c r="E80" s="26">
        <v>33</v>
      </c>
      <c r="F80" s="30" t="s">
        <v>50</v>
      </c>
      <c r="G80" s="25">
        <v>2</v>
      </c>
      <c r="H80" s="26">
        <f>IF(TRIM(F80)="",0,1)</f>
        <v>1</v>
      </c>
      <c r="I80" s="26">
        <f>COUNT(G80:G80)</f>
        <v>1</v>
      </c>
      <c r="J80" s="26">
        <f>IF(I80 &gt;= H80,0,1)</f>
        <v>0</v>
      </c>
      <c r="K80" s="26">
        <f>IF(AND(I80 &gt; 0,H80=0),1,0)</f>
        <v>0</v>
      </c>
      <c r="L80" s="26"/>
      <c r="M80" s="26"/>
      <c r="N80" s="26"/>
      <c r="O80" s="26"/>
      <c r="P80" s="26"/>
      <c r="Q80" s="26"/>
      <c r="R80" s="26"/>
      <c r="S80" s="26"/>
      <c r="T80" s="26"/>
    </row>
    <row r="81" spans="1:20" x14ac:dyDescent="0.25">
      <c r="A81" s="3">
        <v>81</v>
      </c>
      <c r="B81" s="3">
        <f>Codestufen!C82</f>
        <v>0</v>
      </c>
      <c r="C81" s="3">
        <f t="shared" si="2"/>
        <v>0</v>
      </c>
      <c r="D81" s="26" t="s">
        <v>41</v>
      </c>
      <c r="E81" s="26">
        <v>67</v>
      </c>
      <c r="F81" s="30" t="s">
        <v>50</v>
      </c>
      <c r="G81" s="25">
        <v>2</v>
      </c>
      <c r="H81" s="26">
        <f>IF(TRIM(F81)="",0,1)</f>
        <v>1</v>
      </c>
      <c r="I81" s="26">
        <f>COUNT(G81:G81)</f>
        <v>1</v>
      </c>
      <c r="J81" s="26">
        <f>IF(I81 &gt;= H81,0,1)</f>
        <v>0</v>
      </c>
      <c r="K81" s="26">
        <f>IF(AND(I81 &gt; 0,H81=0),1,0)</f>
        <v>0</v>
      </c>
      <c r="L81" s="26"/>
      <c r="M81" s="26"/>
      <c r="N81" s="26"/>
      <c r="O81" s="26"/>
      <c r="P81" s="26"/>
      <c r="Q81" s="26"/>
      <c r="R81" s="26"/>
      <c r="S81" s="26"/>
      <c r="T81" s="26"/>
    </row>
    <row r="82" spans="1:20" x14ac:dyDescent="0.25">
      <c r="A82" s="3">
        <v>82</v>
      </c>
      <c r="B82" s="3">
        <f>Codestufen!C83</f>
        <v>0</v>
      </c>
      <c r="C82" s="3">
        <f t="shared" si="2"/>
        <v>0</v>
      </c>
      <c r="D82" s="26" t="s">
        <v>41</v>
      </c>
      <c r="E82" s="26">
        <v>68</v>
      </c>
      <c r="F82" s="30" t="s">
        <v>50</v>
      </c>
      <c r="G82" s="25">
        <v>2</v>
      </c>
      <c r="H82" s="26">
        <f>IF(TRIM(F82)="",0,1)</f>
        <v>1</v>
      </c>
      <c r="I82" s="26">
        <f>COUNT(G82:G82)</f>
        <v>1</v>
      </c>
      <c r="J82" s="26">
        <f>IF(I82 &gt;= H82,0,1)</f>
        <v>0</v>
      </c>
      <c r="K82" s="26">
        <f>IF(AND(I82 &gt; 0,H82=0),1,0)</f>
        <v>0</v>
      </c>
      <c r="L82" s="26"/>
      <c r="M82" s="26"/>
      <c r="N82" s="26"/>
      <c r="O82" s="26"/>
      <c r="P82" s="26"/>
      <c r="Q82" s="26"/>
      <c r="R82" s="26"/>
      <c r="S82" s="26"/>
      <c r="T82" s="26"/>
    </row>
    <row r="83" spans="1:20" x14ac:dyDescent="0.25">
      <c r="A83" s="3">
        <v>83</v>
      </c>
      <c r="B83" s="3">
        <f>Codestufen!C84</f>
        <v>0</v>
      </c>
      <c r="C83" s="3">
        <f t="shared" si="2"/>
        <v>0</v>
      </c>
      <c r="D83" s="26" t="s">
        <v>41</v>
      </c>
      <c r="E83" s="26">
        <v>90</v>
      </c>
      <c r="F83" s="30" t="s">
        <v>50</v>
      </c>
      <c r="G83" s="25">
        <v>2</v>
      </c>
      <c r="H83" s="26">
        <f>IF(TRIM(F83)="",0,1)</f>
        <v>1</v>
      </c>
      <c r="I83" s="26">
        <f>COUNT(G83:G83)</f>
        <v>1</v>
      </c>
      <c r="J83" s="26">
        <f>IF(I83 &gt;= H83,0,1)</f>
        <v>0</v>
      </c>
      <c r="K83" s="26">
        <f>IF(AND(I83 &gt; 0,H83=0),1,0)</f>
        <v>0</v>
      </c>
      <c r="L83" s="26"/>
      <c r="M83" s="26"/>
      <c r="N83" s="26"/>
      <c r="O83" s="26"/>
      <c r="P83" s="26"/>
      <c r="Q83" s="26"/>
      <c r="R83" s="26"/>
      <c r="S83" s="26"/>
      <c r="T83" s="26"/>
    </row>
    <row r="84" spans="1:20" x14ac:dyDescent="0.25">
      <c r="A84" s="3">
        <v>84</v>
      </c>
      <c r="B84" s="3">
        <f>Codestufen!C85</f>
        <v>0</v>
      </c>
      <c r="C84" s="3">
        <f t="shared" si="2"/>
        <v>0</v>
      </c>
      <c r="D84" s="26" t="s">
        <v>41</v>
      </c>
      <c r="E84" s="26">
        <v>96</v>
      </c>
      <c r="F84" s="30" t="s">
        <v>50</v>
      </c>
      <c r="G84" s="25">
        <v>2</v>
      </c>
      <c r="H84" s="26">
        <f>IF(TRIM(F84)="",0,1)</f>
        <v>1</v>
      </c>
      <c r="I84" s="26">
        <f>COUNT(G84:G84)</f>
        <v>1</v>
      </c>
      <c r="J84" s="26">
        <f>IF(I84 &gt;= H84,0,1)</f>
        <v>0</v>
      </c>
      <c r="K84" s="26">
        <f>IF(AND(I84 &gt; 0,H84=0),1,0)</f>
        <v>0</v>
      </c>
      <c r="L84" s="26"/>
      <c r="M84" s="26"/>
      <c r="N84" s="26"/>
      <c r="O84" s="26"/>
      <c r="P84" s="26"/>
      <c r="Q84" s="26"/>
      <c r="R84" s="26"/>
      <c r="S84" s="26"/>
      <c r="T84" s="26"/>
    </row>
    <row r="85" spans="1:20" x14ac:dyDescent="0.25">
      <c r="A85" s="3">
        <v>85</v>
      </c>
      <c r="B85" s="3">
        <f>Codestufen!C86</f>
        <v>0</v>
      </c>
      <c r="C85" s="3">
        <f t="shared" si="2"/>
        <v>0</v>
      </c>
      <c r="D85" s="26" t="s">
        <v>41</v>
      </c>
      <c r="E85" s="26">
        <v>2</v>
      </c>
      <c r="F85" s="30" t="s">
        <v>43</v>
      </c>
      <c r="G85" s="25">
        <v>1</v>
      </c>
      <c r="H85" s="26">
        <f>IF(TRIM(F85)="",0,1)</f>
        <v>1</v>
      </c>
      <c r="I85" s="26">
        <f>COUNT(G85:G85)</f>
        <v>1</v>
      </c>
      <c r="J85" s="26">
        <f>IF(I85 &gt;= H85,0,1)</f>
        <v>0</v>
      </c>
      <c r="K85" s="26">
        <f>IF(AND(I85 &gt; 0,H85=0),1,0)</f>
        <v>0</v>
      </c>
      <c r="L85" s="26"/>
      <c r="M85" s="26"/>
      <c r="N85" s="26"/>
      <c r="O85" s="26"/>
      <c r="P85" s="26"/>
      <c r="Q85" s="26"/>
      <c r="R85" s="26"/>
      <c r="S85" s="26"/>
      <c r="T85" s="26"/>
    </row>
    <row r="86" spans="1:20" x14ac:dyDescent="0.25">
      <c r="A86" s="3">
        <v>86</v>
      </c>
      <c r="B86" s="3">
        <f>Codestufen!C87</f>
        <v>0</v>
      </c>
      <c r="C86" s="3">
        <f t="shared" si="2"/>
        <v>0</v>
      </c>
      <c r="D86" s="26" t="s">
        <v>41</v>
      </c>
      <c r="E86" s="26">
        <v>3</v>
      </c>
      <c r="F86" s="30" t="s">
        <v>43</v>
      </c>
      <c r="G86" s="25">
        <v>1</v>
      </c>
      <c r="H86" s="26">
        <f>IF(TRIM(F86)="",0,1)</f>
        <v>1</v>
      </c>
      <c r="I86" s="26">
        <f>COUNT(G86:G86)</f>
        <v>1</v>
      </c>
      <c r="J86" s="26">
        <f>IF(I86 &gt;= H86,0,1)</f>
        <v>0</v>
      </c>
      <c r="K86" s="26">
        <f>IF(AND(I86 &gt; 0,H86=0),1,0)</f>
        <v>0</v>
      </c>
      <c r="L86" s="26"/>
      <c r="M86" s="26"/>
      <c r="N86" s="26"/>
      <c r="O86" s="26"/>
      <c r="P86" s="26"/>
      <c r="Q86" s="26"/>
      <c r="R86" s="26"/>
      <c r="S86" s="26"/>
      <c r="T86" s="26"/>
    </row>
    <row r="87" spans="1:20" x14ac:dyDescent="0.25">
      <c r="A87" s="3">
        <v>87</v>
      </c>
      <c r="B87" s="3">
        <f>Codestufen!C88</f>
        <v>0</v>
      </c>
      <c r="C87" s="3">
        <f t="shared" si="2"/>
        <v>0</v>
      </c>
      <c r="D87" s="26" t="s">
        <v>41</v>
      </c>
      <c r="E87" s="26">
        <v>34</v>
      </c>
      <c r="F87" s="30" t="s">
        <v>43</v>
      </c>
      <c r="G87" s="25">
        <v>1</v>
      </c>
      <c r="H87" s="26">
        <f>IF(TRIM(F87)="",0,1)</f>
        <v>1</v>
      </c>
      <c r="I87" s="26">
        <f>COUNT(G87:G87)</f>
        <v>1</v>
      </c>
      <c r="J87" s="26">
        <f>IF(I87 &gt;= H87,0,1)</f>
        <v>0</v>
      </c>
      <c r="K87" s="26">
        <f>IF(AND(I87 &gt; 0,H87=0),1,0)</f>
        <v>0</v>
      </c>
      <c r="L87" s="26"/>
      <c r="M87" s="26"/>
      <c r="N87" s="26"/>
      <c r="O87" s="26"/>
      <c r="P87" s="26"/>
      <c r="Q87" s="26"/>
      <c r="R87" s="26"/>
      <c r="S87" s="26"/>
      <c r="T87" s="26"/>
    </row>
    <row r="88" spans="1:20" x14ac:dyDescent="0.25">
      <c r="A88" s="3">
        <v>88</v>
      </c>
      <c r="B88" s="3">
        <f>Codestufen!C89</f>
        <v>0</v>
      </c>
      <c r="C88" s="3">
        <f t="shared" si="2"/>
        <v>0</v>
      </c>
      <c r="D88" s="26" t="s">
        <v>41</v>
      </c>
      <c r="E88" s="26">
        <v>42</v>
      </c>
      <c r="F88" s="30" t="s">
        <v>43</v>
      </c>
      <c r="G88" s="25">
        <v>1</v>
      </c>
      <c r="H88" s="26">
        <f>IF(TRIM(F88)="",0,1)</f>
        <v>1</v>
      </c>
      <c r="I88" s="26">
        <f>COUNT(G88:G88)</f>
        <v>1</v>
      </c>
      <c r="J88" s="26">
        <f>IF(I88 &gt;= H88,0,1)</f>
        <v>0</v>
      </c>
      <c r="K88" s="26">
        <f>IF(AND(I88 &gt; 0,H88=0),1,0)</f>
        <v>0</v>
      </c>
      <c r="L88" s="26"/>
      <c r="M88" s="26"/>
      <c r="N88" s="26"/>
      <c r="O88" s="26"/>
      <c r="P88" s="26"/>
      <c r="Q88" s="26"/>
      <c r="R88" s="26"/>
      <c r="S88" s="26"/>
      <c r="T88" s="26"/>
    </row>
    <row r="89" spans="1:20" x14ac:dyDescent="0.25">
      <c r="A89" s="3">
        <v>89</v>
      </c>
      <c r="B89" s="3">
        <f>Codestufen!C90</f>
        <v>0</v>
      </c>
      <c r="C89" s="3">
        <f t="shared" si="2"/>
        <v>0</v>
      </c>
      <c r="D89" s="26" t="s">
        <v>41</v>
      </c>
      <c r="E89" s="26">
        <v>47</v>
      </c>
      <c r="F89" s="30" t="s">
        <v>43</v>
      </c>
      <c r="G89" s="25">
        <v>1</v>
      </c>
      <c r="H89" s="26">
        <f>IF(TRIM(F89)="",0,1)</f>
        <v>1</v>
      </c>
      <c r="I89" s="26">
        <f>COUNT(G89:G89)</f>
        <v>1</v>
      </c>
      <c r="J89" s="26">
        <f>IF(I89 &gt;= H89,0,1)</f>
        <v>0</v>
      </c>
      <c r="K89" s="26">
        <f>IF(AND(I89 &gt; 0,H89=0),1,0)</f>
        <v>0</v>
      </c>
      <c r="L89" s="26"/>
      <c r="M89" s="26"/>
      <c r="N89" s="26"/>
      <c r="O89" s="26"/>
      <c r="P89" s="26"/>
      <c r="Q89" s="26"/>
      <c r="R89" s="26"/>
      <c r="S89" s="26"/>
      <c r="T89" s="26"/>
    </row>
    <row r="90" spans="1:20" x14ac:dyDescent="0.25">
      <c r="A90" s="3">
        <v>90</v>
      </c>
      <c r="B90" s="3">
        <f>Codestufen!C91</f>
        <v>0</v>
      </c>
      <c r="C90" s="3">
        <f t="shared" si="2"/>
        <v>0</v>
      </c>
      <c r="D90" s="26" t="s">
        <v>41</v>
      </c>
      <c r="E90" s="26">
        <v>62</v>
      </c>
      <c r="F90" s="30" t="s">
        <v>43</v>
      </c>
      <c r="G90" s="25">
        <v>1</v>
      </c>
      <c r="H90" s="26">
        <f>IF(TRIM(F90)="",0,1)</f>
        <v>1</v>
      </c>
      <c r="I90" s="26">
        <f>COUNT(G90:G90)</f>
        <v>1</v>
      </c>
      <c r="J90" s="26">
        <f>IF(I90 &gt;= H90,0,1)</f>
        <v>0</v>
      </c>
      <c r="K90" s="26">
        <f>IF(AND(I90 &gt; 0,H90=0),1,0)</f>
        <v>0</v>
      </c>
      <c r="L90" s="26"/>
      <c r="M90" s="26"/>
      <c r="N90" s="26"/>
      <c r="O90" s="26"/>
      <c r="P90" s="26"/>
      <c r="Q90" s="26"/>
      <c r="R90" s="26"/>
      <c r="S90" s="26"/>
      <c r="T90" s="26"/>
    </row>
    <row r="91" spans="1:20" x14ac:dyDescent="0.25">
      <c r="A91" s="3">
        <v>91</v>
      </c>
      <c r="B91" s="3">
        <f>Codestufen!C92</f>
        <v>0</v>
      </c>
      <c r="C91" s="3">
        <f t="shared" si="2"/>
        <v>0</v>
      </c>
      <c r="D91" s="26" t="s">
        <v>41</v>
      </c>
      <c r="E91" s="26">
        <v>24</v>
      </c>
      <c r="F91" s="30" t="s">
        <v>51</v>
      </c>
      <c r="G91" s="25">
        <v>4</v>
      </c>
      <c r="H91" s="26">
        <f>IF(TRIM(F91)="",0,1)</f>
        <v>1</v>
      </c>
      <c r="I91" s="26">
        <f>COUNT(G91:G91)</f>
        <v>1</v>
      </c>
      <c r="J91" s="26">
        <f>IF(I91 &gt;= H91,0,1)</f>
        <v>0</v>
      </c>
      <c r="K91" s="26">
        <f>IF(AND(I91 &gt; 0,H91=0),1,0)</f>
        <v>0</v>
      </c>
      <c r="L91" s="26"/>
      <c r="M91" s="26"/>
      <c r="N91" s="26"/>
      <c r="O91" s="26"/>
      <c r="P91" s="26"/>
      <c r="Q91" s="26"/>
      <c r="R91" s="26"/>
      <c r="S91" s="26"/>
      <c r="T91" s="26"/>
    </row>
    <row r="92" spans="1:20" x14ac:dyDescent="0.25">
      <c r="A92" s="3">
        <v>92</v>
      </c>
      <c r="B92" s="3">
        <f>Codestufen!C93</f>
        <v>0</v>
      </c>
      <c r="C92" s="3">
        <f t="shared" si="2"/>
        <v>0</v>
      </c>
      <c r="D92" s="26" t="s">
        <v>41</v>
      </c>
      <c r="E92" s="26">
        <v>35</v>
      </c>
      <c r="F92" s="30" t="s">
        <v>51</v>
      </c>
      <c r="G92" s="25">
        <v>4</v>
      </c>
      <c r="H92" s="26">
        <f>IF(TRIM(F92)="",0,1)</f>
        <v>1</v>
      </c>
      <c r="I92" s="26">
        <f>COUNT(G92:G92)</f>
        <v>1</v>
      </c>
      <c r="J92" s="26">
        <f>IF(I92 &gt;= H92,0,1)</f>
        <v>0</v>
      </c>
      <c r="K92" s="26">
        <f>IF(AND(I92 &gt; 0,H92=0),1,0)</f>
        <v>0</v>
      </c>
      <c r="L92" s="26"/>
      <c r="M92" s="26"/>
      <c r="N92" s="26"/>
      <c r="O92" s="26"/>
      <c r="P92" s="26"/>
      <c r="Q92" s="26"/>
      <c r="R92" s="26"/>
      <c r="S92" s="26"/>
      <c r="T92" s="26"/>
    </row>
    <row r="93" spans="1:20" x14ac:dyDescent="0.25">
      <c r="A93" s="3">
        <v>93</v>
      </c>
      <c r="B93" s="3">
        <f>Codestufen!C94</f>
        <v>0</v>
      </c>
      <c r="C93" s="3">
        <f t="shared" si="2"/>
        <v>0</v>
      </c>
      <c r="D93" s="26" t="s">
        <v>41</v>
      </c>
      <c r="E93" s="26">
        <v>52</v>
      </c>
      <c r="F93" s="30" t="s">
        <v>51</v>
      </c>
      <c r="G93" s="25">
        <v>4</v>
      </c>
      <c r="H93" s="26">
        <f>IF(TRIM(F93)="",0,1)</f>
        <v>1</v>
      </c>
      <c r="I93" s="26">
        <f>COUNT(G93:G93)</f>
        <v>1</v>
      </c>
      <c r="J93" s="26">
        <f>IF(I93 &gt;= H93,0,1)</f>
        <v>0</v>
      </c>
      <c r="K93" s="26">
        <f>IF(AND(I93 &gt; 0,H93=0),1,0)</f>
        <v>0</v>
      </c>
      <c r="L93" s="26"/>
      <c r="M93" s="26"/>
      <c r="N93" s="26"/>
      <c r="O93" s="26"/>
      <c r="P93" s="26"/>
      <c r="Q93" s="26"/>
      <c r="R93" s="26"/>
      <c r="S93" s="26"/>
      <c r="T93" s="26"/>
    </row>
    <row r="94" spans="1:20" x14ac:dyDescent="0.25">
      <c r="A94" s="3">
        <v>94</v>
      </c>
      <c r="B94" s="3">
        <f>Codestufen!C95</f>
        <v>0</v>
      </c>
      <c r="C94" s="3">
        <f t="shared" si="2"/>
        <v>0</v>
      </c>
      <c r="D94" s="26" t="s">
        <v>41</v>
      </c>
      <c r="E94" s="26">
        <v>58</v>
      </c>
      <c r="F94" s="30" t="s">
        <v>51</v>
      </c>
      <c r="G94" s="25">
        <v>4</v>
      </c>
      <c r="H94" s="26">
        <f>IF(TRIM(F94)="",0,1)</f>
        <v>1</v>
      </c>
      <c r="I94" s="26">
        <f>COUNT(G94:G94)</f>
        <v>1</v>
      </c>
      <c r="J94" s="26">
        <f>IF(I94 &gt;= H94,0,1)</f>
        <v>0</v>
      </c>
      <c r="K94" s="26">
        <f>IF(AND(I94 &gt; 0,H94=0),1,0)</f>
        <v>0</v>
      </c>
      <c r="L94" s="26"/>
      <c r="M94" s="26"/>
      <c r="N94" s="26"/>
      <c r="O94" s="26"/>
      <c r="P94" s="26"/>
      <c r="Q94" s="26"/>
      <c r="R94" s="26"/>
      <c r="S94" s="26"/>
      <c r="T94" s="26"/>
    </row>
    <row r="95" spans="1:20" x14ac:dyDescent="0.25">
      <c r="A95" s="3">
        <v>95</v>
      </c>
      <c r="B95" s="3">
        <f>Codestufen!C96</f>
        <v>0</v>
      </c>
      <c r="C95" s="3">
        <f t="shared" si="2"/>
        <v>0</v>
      </c>
      <c r="D95" s="26" t="s">
        <v>41</v>
      </c>
      <c r="E95" s="26">
        <v>70</v>
      </c>
      <c r="F95" s="30" t="s">
        <v>51</v>
      </c>
      <c r="G95" s="25">
        <v>4</v>
      </c>
      <c r="H95" s="26">
        <f>IF(TRIM(F95)="",0,1)</f>
        <v>1</v>
      </c>
      <c r="I95" s="26">
        <f>COUNT(G95:G95)</f>
        <v>1</v>
      </c>
      <c r="J95" s="26">
        <f>IF(I95 &gt;= H95,0,1)</f>
        <v>0</v>
      </c>
      <c r="K95" s="26">
        <f>IF(AND(I95 &gt; 0,H95=0),1,0)</f>
        <v>0</v>
      </c>
      <c r="L95" s="26"/>
      <c r="M95" s="26"/>
      <c r="N95" s="26"/>
      <c r="O95" s="26"/>
      <c r="P95" s="26"/>
      <c r="Q95" s="26"/>
      <c r="R95" s="26"/>
      <c r="S95" s="26"/>
      <c r="T95" s="26"/>
    </row>
    <row r="96" spans="1:20" x14ac:dyDescent="0.25">
      <c r="A96" s="3">
        <v>96</v>
      </c>
      <c r="B96" s="3">
        <f>Codestufen!C97</f>
        <v>0</v>
      </c>
      <c r="C96" s="3">
        <f t="shared" si="2"/>
        <v>0</v>
      </c>
      <c r="D96" s="26" t="s">
        <v>41</v>
      </c>
      <c r="E96" s="26">
        <v>76</v>
      </c>
      <c r="F96" s="30" t="s">
        <v>51</v>
      </c>
      <c r="G96" s="25">
        <v>4</v>
      </c>
      <c r="H96" s="26">
        <f>IF(TRIM(F96)="",0,1)</f>
        <v>1</v>
      </c>
      <c r="I96" s="26">
        <f>COUNT(G96:G96)</f>
        <v>1</v>
      </c>
      <c r="J96" s="26">
        <f>IF(I96 &gt;= H96,0,1)</f>
        <v>0</v>
      </c>
      <c r="K96" s="26">
        <f>IF(AND(I96 &gt; 0,H96=0),1,0)</f>
        <v>0</v>
      </c>
      <c r="L96" s="26"/>
      <c r="M96" s="26"/>
      <c r="N96" s="26"/>
      <c r="O96" s="26"/>
      <c r="P96" s="26"/>
      <c r="Q96" s="26"/>
      <c r="R96" s="26"/>
      <c r="S96" s="26"/>
      <c r="T96" s="26"/>
    </row>
    <row r="97" spans="1:20" x14ac:dyDescent="0.25">
      <c r="A97" s="3">
        <v>97</v>
      </c>
      <c r="B97" s="3">
        <f>Codestufen!C98</f>
        <v>0</v>
      </c>
      <c r="C97" s="3">
        <f t="shared" si="2"/>
        <v>0</v>
      </c>
      <c r="D97" s="26" t="s">
        <v>41</v>
      </c>
      <c r="E97" s="26">
        <v>80</v>
      </c>
      <c r="F97" s="30" t="s">
        <v>51</v>
      </c>
      <c r="G97" s="25">
        <v>4</v>
      </c>
      <c r="H97" s="26">
        <f>IF(TRIM(F97)="",0,1)</f>
        <v>1</v>
      </c>
      <c r="I97" s="26">
        <f>COUNT(G97:G97)</f>
        <v>1</v>
      </c>
      <c r="J97" s="26">
        <f>IF(I97 &gt;= H97,0,1)</f>
        <v>0</v>
      </c>
      <c r="K97" s="26">
        <f>IF(AND(I97 &gt; 0,H97=0),1,0)</f>
        <v>0</v>
      </c>
      <c r="L97" s="26"/>
      <c r="M97" s="26"/>
      <c r="N97" s="26"/>
      <c r="O97" s="26"/>
      <c r="P97" s="26"/>
      <c r="Q97" s="26"/>
      <c r="R97" s="26"/>
      <c r="S97" s="26"/>
      <c r="T97" s="26"/>
    </row>
    <row r="98" spans="1:20" x14ac:dyDescent="0.25">
      <c r="A98" s="3">
        <v>98</v>
      </c>
      <c r="B98" s="3">
        <f>Codestufen!C99</f>
        <v>0</v>
      </c>
      <c r="C98" s="3">
        <f t="shared" si="2"/>
        <v>0</v>
      </c>
      <c r="D98" s="26" t="s">
        <v>41</v>
      </c>
      <c r="E98" s="26">
        <v>14</v>
      </c>
      <c r="F98" s="30" t="s">
        <v>48</v>
      </c>
      <c r="G98" s="25">
        <v>2</v>
      </c>
      <c r="H98" s="26">
        <f>IF(TRIM(F98)="",0,1)</f>
        <v>1</v>
      </c>
      <c r="I98" s="26">
        <f>COUNT(G98:G98)</f>
        <v>1</v>
      </c>
      <c r="J98" s="26">
        <f>IF(I98 &gt;= H98,0,1)</f>
        <v>0</v>
      </c>
      <c r="K98" s="26">
        <f>IF(AND(I98 &gt; 0,H98=0),1,0)</f>
        <v>0</v>
      </c>
      <c r="L98" s="26"/>
      <c r="M98" s="26"/>
      <c r="N98" s="26"/>
      <c r="O98" s="26"/>
      <c r="P98" s="26"/>
      <c r="Q98" s="26"/>
      <c r="R98" s="26"/>
      <c r="S98" s="26"/>
      <c r="T98" s="26"/>
    </row>
    <row r="99" spans="1:20" x14ac:dyDescent="0.25">
      <c r="A99" s="3">
        <v>99</v>
      </c>
      <c r="B99" s="3">
        <f>Codestufen!C100</f>
        <v>0</v>
      </c>
      <c r="C99" s="3">
        <f t="shared" si="2"/>
        <v>0</v>
      </c>
      <c r="D99" s="26" t="s">
        <v>41</v>
      </c>
      <c r="E99" s="26">
        <v>20</v>
      </c>
      <c r="F99" s="30" t="s">
        <v>48</v>
      </c>
      <c r="G99" s="25">
        <v>2</v>
      </c>
      <c r="H99" s="26">
        <f>IF(TRIM(F99)="",0,1)</f>
        <v>1</v>
      </c>
      <c r="I99" s="26">
        <f>COUNT(G99:G99)</f>
        <v>1</v>
      </c>
      <c r="J99" s="26">
        <f>IF(I99 &gt;= H99,0,1)</f>
        <v>0</v>
      </c>
      <c r="K99" s="26">
        <f>IF(AND(I99 &gt; 0,H99=0),1,0)</f>
        <v>0</v>
      </c>
      <c r="L99" s="26"/>
      <c r="M99" s="26"/>
      <c r="N99" s="26"/>
      <c r="O99" s="26"/>
      <c r="P99" s="26"/>
      <c r="Q99" s="26"/>
      <c r="R99" s="26"/>
      <c r="S99" s="26"/>
      <c r="T99" s="26"/>
    </row>
    <row r="100" spans="1:20" x14ac:dyDescent="0.25">
      <c r="A100" s="3">
        <v>100</v>
      </c>
      <c r="B100" s="3">
        <f>Codestufen!C101</f>
        <v>0</v>
      </c>
      <c r="C100" s="3">
        <f t="shared" si="2"/>
        <v>0</v>
      </c>
      <c r="D100" s="26" t="s">
        <v>41</v>
      </c>
      <c r="E100" s="26">
        <v>26</v>
      </c>
      <c r="F100" s="30" t="s">
        <v>48</v>
      </c>
      <c r="G100" s="25">
        <v>2</v>
      </c>
      <c r="H100" s="26">
        <f>IF(TRIM(F100)="",0,1)</f>
        <v>1</v>
      </c>
      <c r="I100" s="26">
        <f>COUNT(G100:G100)</f>
        <v>1</v>
      </c>
      <c r="J100" s="26">
        <f>IF(I100 &gt;= H100,0,1)</f>
        <v>0</v>
      </c>
      <c r="K100" s="26">
        <f>IF(AND(I100 &gt; 0,H100=0),1,0)</f>
        <v>0</v>
      </c>
      <c r="L100" s="26"/>
      <c r="M100" s="26"/>
      <c r="N100" s="26"/>
      <c r="O100" s="26"/>
      <c r="P100" s="26"/>
      <c r="Q100" s="26"/>
      <c r="R100" s="26"/>
      <c r="S100" s="26"/>
      <c r="T100" s="26"/>
    </row>
    <row r="101" spans="1:20" x14ac:dyDescent="0.25">
      <c r="D101" s="26" t="s">
        <v>41</v>
      </c>
      <c r="E101" s="26">
        <v>50</v>
      </c>
      <c r="F101" s="30" t="s">
        <v>48</v>
      </c>
      <c r="G101" s="25">
        <v>2</v>
      </c>
      <c r="H101" s="26">
        <f>IF(TRIM(F101)="",0,1)</f>
        <v>1</v>
      </c>
      <c r="I101" s="26">
        <f>COUNT(G101:G101)</f>
        <v>1</v>
      </c>
      <c r="J101" s="26">
        <f>IF(I101 &gt;= H101,0,1)</f>
        <v>0</v>
      </c>
      <c r="K101" s="26">
        <f>IF(AND(I101 &gt; 0,H101=0),1,0)</f>
        <v>0</v>
      </c>
      <c r="L101" s="26"/>
      <c r="M101" s="26"/>
      <c r="N101" s="26"/>
      <c r="O101" s="26"/>
      <c r="P101" s="26"/>
      <c r="Q101" s="26"/>
      <c r="R101" s="26"/>
      <c r="S101" s="26"/>
      <c r="T101" s="26"/>
    </row>
    <row r="102" spans="1:20" x14ac:dyDescent="0.25">
      <c r="D102" s="26" t="s">
        <v>41</v>
      </c>
      <c r="E102" s="26">
        <v>78</v>
      </c>
      <c r="F102" s="30" t="s">
        <v>48</v>
      </c>
      <c r="G102" s="25">
        <v>2</v>
      </c>
      <c r="H102" s="26">
        <f>IF(TRIM(F102)="",0,1)</f>
        <v>1</v>
      </c>
      <c r="I102" s="26">
        <f>COUNT(G102:G102)</f>
        <v>1</v>
      </c>
      <c r="J102" s="26">
        <f>IF(I102 &gt;= H102,0,1)</f>
        <v>0</v>
      </c>
      <c r="K102" s="26">
        <f>IF(AND(I102 &gt; 0,H102=0),1,0)</f>
        <v>0</v>
      </c>
      <c r="L102" s="26"/>
      <c r="M102" s="26"/>
      <c r="N102" s="26"/>
      <c r="O102" s="26"/>
      <c r="P102" s="26"/>
      <c r="Q102" s="26"/>
      <c r="R102" s="26"/>
      <c r="S102" s="26"/>
      <c r="T102" s="26"/>
    </row>
    <row r="103" spans="1:20" x14ac:dyDescent="0.25">
      <c r="D103" s="26" t="s">
        <v>41</v>
      </c>
      <c r="E103" s="26">
        <v>88</v>
      </c>
      <c r="F103" s="30" t="s">
        <v>48</v>
      </c>
      <c r="G103" s="25">
        <v>2</v>
      </c>
      <c r="H103" s="26">
        <f>IF(TRIM(F103)="",0,1)</f>
        <v>1</v>
      </c>
      <c r="I103" s="26">
        <f>COUNT(G103:G103)</f>
        <v>1</v>
      </c>
      <c r="J103" s="26">
        <f>IF(I103 &gt;= H103,0,1)</f>
        <v>0</v>
      </c>
      <c r="K103" s="26">
        <f>IF(AND(I103 &gt; 0,H103=0),1,0)</f>
        <v>0</v>
      </c>
      <c r="L103" s="26"/>
      <c r="M103" s="26"/>
      <c r="N103" s="26"/>
      <c r="O103" s="26"/>
      <c r="P103" s="26"/>
      <c r="Q103" s="26"/>
      <c r="R103" s="26"/>
      <c r="S103" s="26"/>
      <c r="T103" s="26"/>
    </row>
    <row r="104" spans="1:20" x14ac:dyDescent="0.25">
      <c r="D104" s="26" t="s">
        <v>41</v>
      </c>
      <c r="E104" s="26">
        <v>1</v>
      </c>
      <c r="F104" s="30" t="s">
        <v>42</v>
      </c>
      <c r="G104" s="25">
        <v>3</v>
      </c>
      <c r="H104" s="26">
        <f>IF(TRIM(F104)="",0,1)</f>
        <v>1</v>
      </c>
      <c r="I104" s="26">
        <f>COUNT(G104:G104)</f>
        <v>1</v>
      </c>
      <c r="J104" s="26">
        <f>IF(I104 &gt;= H104,0,1)</f>
        <v>0</v>
      </c>
      <c r="K104" s="26">
        <f>IF(AND(I104 &gt; 0,H104=0),1,0)</f>
        <v>0</v>
      </c>
      <c r="L104" s="26"/>
      <c r="M104" s="26"/>
      <c r="N104" s="26"/>
      <c r="O104" s="26"/>
      <c r="P104" s="26"/>
      <c r="Q104" s="26"/>
      <c r="R104" s="26"/>
      <c r="S104" s="26"/>
      <c r="T104" s="26"/>
    </row>
    <row r="105" spans="1:20" x14ac:dyDescent="0.25">
      <c r="D105" s="26" t="s">
        <v>41</v>
      </c>
      <c r="E105" s="26">
        <v>28</v>
      </c>
      <c r="F105" s="30" t="s">
        <v>42</v>
      </c>
      <c r="G105" s="25">
        <v>3</v>
      </c>
      <c r="H105" s="26">
        <f>IF(TRIM(F105)="",0,1)</f>
        <v>1</v>
      </c>
      <c r="I105" s="26">
        <f>COUNT(G105:G105)</f>
        <v>1</v>
      </c>
      <c r="J105" s="26">
        <f>IF(I105 &gt;= H105,0,1)</f>
        <v>0</v>
      </c>
      <c r="K105" s="26">
        <f>IF(AND(I105 &gt; 0,H105=0),1,0)</f>
        <v>0</v>
      </c>
      <c r="L105" s="26"/>
      <c r="M105" s="26"/>
      <c r="N105" s="26"/>
      <c r="O105" s="26"/>
      <c r="P105" s="26"/>
      <c r="Q105" s="26"/>
      <c r="R105" s="26"/>
      <c r="S105" s="26"/>
      <c r="T105" s="26"/>
    </row>
    <row r="106" spans="1:20" x14ac:dyDescent="0.25">
      <c r="D106" s="26" t="s">
        <v>41</v>
      </c>
      <c r="E106" s="26">
        <v>30</v>
      </c>
      <c r="F106" s="30" t="s">
        <v>42</v>
      </c>
      <c r="G106" s="25">
        <v>3</v>
      </c>
      <c r="H106" s="26">
        <f>IF(TRIM(F106)="",0,1)</f>
        <v>1</v>
      </c>
      <c r="I106" s="26">
        <f>COUNT(G106:G106)</f>
        <v>1</v>
      </c>
      <c r="J106" s="26">
        <f>IF(I106 &gt;= H106,0,1)</f>
        <v>0</v>
      </c>
      <c r="K106" s="26">
        <f>IF(AND(I106 &gt; 0,H106=0),1,0)</f>
        <v>0</v>
      </c>
      <c r="L106" s="26"/>
      <c r="M106" s="26"/>
      <c r="N106" s="26"/>
      <c r="O106" s="26"/>
      <c r="P106" s="26"/>
      <c r="Q106" s="26"/>
      <c r="R106" s="26"/>
      <c r="S106" s="26"/>
      <c r="T106" s="26"/>
    </row>
    <row r="107" spans="1:20" x14ac:dyDescent="0.25">
      <c r="D107" s="26" t="s">
        <v>41</v>
      </c>
      <c r="E107" s="26">
        <v>36</v>
      </c>
      <c r="F107" s="30" t="s">
        <v>42</v>
      </c>
      <c r="G107" s="25">
        <v>3</v>
      </c>
      <c r="H107" s="26">
        <f>IF(TRIM(F107)="",0,1)</f>
        <v>1</v>
      </c>
      <c r="I107" s="26">
        <f>COUNT(G107:G107)</f>
        <v>1</v>
      </c>
      <c r="J107" s="26">
        <f>IF(I107 &gt;= H107,0,1)</f>
        <v>0</v>
      </c>
      <c r="K107" s="26">
        <f>IF(AND(I107 &gt; 0,H107=0),1,0)</f>
        <v>0</v>
      </c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1:20" x14ac:dyDescent="0.25">
      <c r="D108" s="26" t="s">
        <v>41</v>
      </c>
      <c r="E108" s="26">
        <v>40</v>
      </c>
      <c r="F108" s="30" t="s">
        <v>42</v>
      </c>
      <c r="G108" s="25">
        <v>3</v>
      </c>
      <c r="H108" s="26">
        <f>IF(TRIM(F108)="",0,1)</f>
        <v>1</v>
      </c>
      <c r="I108" s="26">
        <f>COUNT(G108:G108)</f>
        <v>1</v>
      </c>
      <c r="J108" s="26">
        <f>IF(I108 &gt;= H108,0,1)</f>
        <v>0</v>
      </c>
      <c r="K108" s="26">
        <f>IF(AND(I108 &gt; 0,H108=0),1,0)</f>
        <v>0</v>
      </c>
      <c r="L108" s="26"/>
      <c r="M108" s="26"/>
      <c r="N108" s="26"/>
      <c r="O108" s="26"/>
      <c r="P108" s="26"/>
      <c r="Q108" s="26"/>
      <c r="R108" s="26"/>
      <c r="S108" s="26"/>
      <c r="T108" s="26"/>
    </row>
    <row r="109" spans="1:20" x14ac:dyDescent="0.25">
      <c r="D109" s="26" t="s">
        <v>41</v>
      </c>
      <c r="E109" s="26">
        <v>60</v>
      </c>
      <c r="F109" s="30" t="s">
        <v>42</v>
      </c>
      <c r="G109" s="25">
        <v>3</v>
      </c>
      <c r="H109" s="26">
        <f>IF(TRIM(F109)="",0,1)</f>
        <v>1</v>
      </c>
      <c r="I109" s="26">
        <f>COUNT(G109:G109)</f>
        <v>1</v>
      </c>
      <c r="J109" s="26">
        <f>IF(I109 &gt;= H109,0,1)</f>
        <v>0</v>
      </c>
      <c r="K109" s="26">
        <f>IF(AND(I109 &gt; 0,H109=0),1,0)</f>
        <v>0</v>
      </c>
      <c r="L109" s="26"/>
      <c r="M109" s="26"/>
      <c r="N109" s="26"/>
      <c r="O109" s="26"/>
      <c r="P109" s="26"/>
      <c r="Q109" s="26"/>
      <c r="R109" s="26"/>
      <c r="S109" s="26"/>
      <c r="T109" s="26"/>
    </row>
    <row r="110" spans="1:20" x14ac:dyDescent="0.25">
      <c r="D110" s="26" t="s">
        <v>41</v>
      </c>
      <c r="E110" s="26">
        <v>72</v>
      </c>
      <c r="F110" s="30" t="s">
        <v>42</v>
      </c>
      <c r="G110" s="25">
        <v>3</v>
      </c>
      <c r="H110" s="26">
        <f>IF(TRIM(F110)="",0,1)</f>
        <v>1</v>
      </c>
      <c r="I110" s="26">
        <f>COUNT(G110:G110)</f>
        <v>1</v>
      </c>
      <c r="J110" s="26">
        <f>IF(I110 &gt;= H110,0,1)</f>
        <v>0</v>
      </c>
      <c r="K110" s="26">
        <f>IF(AND(I110 &gt; 0,H110=0),1,0)</f>
        <v>0</v>
      </c>
      <c r="L110" s="26"/>
      <c r="M110" s="26"/>
      <c r="N110" s="26"/>
      <c r="O110" s="26"/>
      <c r="P110" s="26"/>
      <c r="Q110" s="26"/>
      <c r="R110" s="26"/>
      <c r="S110" s="26"/>
      <c r="T110" s="26"/>
    </row>
    <row r="111" spans="1:20" x14ac:dyDescent="0.25">
      <c r="D111" s="26" t="s">
        <v>41</v>
      </c>
      <c r="E111" s="26">
        <v>83</v>
      </c>
      <c r="F111" s="30" t="s">
        <v>42</v>
      </c>
      <c r="G111" s="25">
        <v>3</v>
      </c>
      <c r="H111" s="26">
        <f>IF(TRIM(F111)="",0,1)</f>
        <v>1</v>
      </c>
      <c r="I111" s="26">
        <f>COUNT(G111:G111)</f>
        <v>1</v>
      </c>
      <c r="J111" s="26">
        <f>IF(I111 &gt;= H111,0,1)</f>
        <v>0</v>
      </c>
      <c r="K111" s="26">
        <f>IF(AND(I111 &gt; 0,H111=0),1,0)</f>
        <v>0</v>
      </c>
      <c r="L111" s="26"/>
      <c r="M111" s="26"/>
      <c r="N111" s="26"/>
      <c r="O111" s="26"/>
      <c r="P111" s="26"/>
      <c r="Q111" s="26"/>
      <c r="R111" s="26"/>
      <c r="S111" s="26"/>
      <c r="T111" s="26"/>
    </row>
    <row r="112" spans="1:20" x14ac:dyDescent="0.25">
      <c r="D112" s="26" t="s">
        <v>41</v>
      </c>
      <c r="E112" s="26">
        <v>85</v>
      </c>
      <c r="F112" s="30" t="s">
        <v>42</v>
      </c>
      <c r="G112" s="25">
        <v>3</v>
      </c>
      <c r="H112" s="26">
        <f>IF(TRIM(F112)="",0,1)</f>
        <v>1</v>
      </c>
      <c r="I112" s="26">
        <f>COUNT(G112:G112)</f>
        <v>1</v>
      </c>
      <c r="J112" s="26">
        <f>IF(I112 &gt;= H112,0,1)</f>
        <v>0</v>
      </c>
      <c r="K112" s="26">
        <f>IF(AND(I112 &gt; 0,H112=0),1,0)</f>
        <v>0</v>
      </c>
      <c r="L112" s="26"/>
      <c r="M112" s="26"/>
      <c r="N112" s="26"/>
      <c r="O112" s="26"/>
      <c r="P112" s="26"/>
      <c r="Q112" s="26"/>
      <c r="R112" s="26"/>
      <c r="S112" s="26"/>
      <c r="T112" s="26"/>
    </row>
    <row r="113" spans="4:20" x14ac:dyDescent="0.25">
      <c r="D113" s="26" t="s">
        <v>41</v>
      </c>
      <c r="E113" s="26">
        <v>95</v>
      </c>
      <c r="F113" s="30" t="s">
        <v>42</v>
      </c>
      <c r="G113" s="25">
        <v>3</v>
      </c>
      <c r="H113" s="26">
        <f>IF(TRIM(F113)="",0,1)</f>
        <v>1</v>
      </c>
      <c r="I113" s="26">
        <f>COUNT(G113:G113)</f>
        <v>1</v>
      </c>
      <c r="J113" s="26">
        <f>IF(I113 &gt;= H113,0,1)</f>
        <v>0</v>
      </c>
      <c r="K113" s="26">
        <f>IF(AND(I113 &gt; 0,H113=0),1,0)</f>
        <v>0</v>
      </c>
      <c r="L113" s="26"/>
      <c r="M113" s="26"/>
      <c r="N113" s="26"/>
      <c r="O113" s="26"/>
      <c r="P113" s="26"/>
      <c r="Q113" s="26"/>
      <c r="R113" s="26"/>
      <c r="S113" s="26"/>
      <c r="T113" s="26"/>
    </row>
    <row r="114" spans="4:20" x14ac:dyDescent="0.25">
      <c r="D114" s="26" t="s">
        <v>41</v>
      </c>
      <c r="E114" s="26">
        <v>97</v>
      </c>
      <c r="F114" s="30" t="s">
        <v>42</v>
      </c>
      <c r="G114" s="25">
        <v>3</v>
      </c>
      <c r="H114" s="26">
        <f>IF(TRIM(F114)="",0,1)</f>
        <v>1</v>
      </c>
      <c r="I114" s="26">
        <f>COUNT(G114:G114)</f>
        <v>1</v>
      </c>
      <c r="J114" s="26">
        <f>IF(I114 &gt;= H114,0,1)</f>
        <v>0</v>
      </c>
      <c r="K114" s="26">
        <f>IF(AND(I114 &gt; 0,H114=0),1,0)</f>
        <v>0</v>
      </c>
      <c r="L114" s="26"/>
      <c r="M114" s="26"/>
      <c r="N114" s="26"/>
      <c r="O114" s="26"/>
      <c r="P114" s="26"/>
      <c r="Q114" s="26"/>
      <c r="R114" s="26"/>
      <c r="S114" s="26"/>
      <c r="T114" s="26"/>
    </row>
    <row r="115" spans="4:20" x14ac:dyDescent="0.25">
      <c r="D115" s="26" t="s">
        <v>41</v>
      </c>
      <c r="E115" s="26">
        <v>4</v>
      </c>
      <c r="F115" s="30" t="s">
        <v>44</v>
      </c>
      <c r="G115" s="25">
        <v>3</v>
      </c>
      <c r="H115" s="26">
        <f>IF(TRIM(F115)="",0,1)</f>
        <v>1</v>
      </c>
      <c r="I115" s="26">
        <f>COUNT(G115:G115)</f>
        <v>1</v>
      </c>
      <c r="J115" s="26">
        <f>IF(I115 &gt;= H115,0,1)</f>
        <v>0</v>
      </c>
      <c r="K115" s="26">
        <f>IF(AND(I115 &gt; 0,H115=0),1,0)</f>
        <v>0</v>
      </c>
      <c r="L115" s="26"/>
      <c r="M115" s="26"/>
      <c r="N115" s="26"/>
      <c r="O115" s="26"/>
      <c r="P115" s="26"/>
      <c r="Q115" s="26"/>
      <c r="R115" s="26"/>
      <c r="S115" s="26"/>
      <c r="T115" s="26"/>
    </row>
    <row r="116" spans="4:20" x14ac:dyDescent="0.25">
      <c r="D116" s="26" t="s">
        <v>41</v>
      </c>
      <c r="E116" s="26">
        <v>8</v>
      </c>
      <c r="F116" s="30" t="s">
        <v>44</v>
      </c>
      <c r="G116" s="25">
        <v>3</v>
      </c>
      <c r="H116" s="26">
        <f>IF(TRIM(F116)="",0,1)</f>
        <v>1</v>
      </c>
      <c r="I116" s="26">
        <f>COUNT(G116:G116)</f>
        <v>1</v>
      </c>
      <c r="J116" s="26">
        <f>IF(I116 &gt;= H116,0,1)</f>
        <v>0</v>
      </c>
      <c r="K116" s="26">
        <f>IF(AND(I116 &gt; 0,H116=0),1,0)</f>
        <v>0</v>
      </c>
      <c r="L116" s="26"/>
      <c r="M116" s="26"/>
      <c r="N116" s="26"/>
      <c r="O116" s="26"/>
      <c r="P116" s="26"/>
      <c r="Q116" s="26"/>
      <c r="R116" s="26"/>
      <c r="S116" s="26"/>
      <c r="T116" s="26"/>
    </row>
    <row r="117" spans="4:20" x14ac:dyDescent="0.25">
      <c r="D117" s="26" t="s">
        <v>41</v>
      </c>
      <c r="E117" s="26">
        <v>10</v>
      </c>
      <c r="F117" s="30" t="s">
        <v>44</v>
      </c>
      <c r="G117" s="25">
        <v>3</v>
      </c>
      <c r="H117" s="26">
        <f>IF(TRIM(F117)="",0,1)</f>
        <v>1</v>
      </c>
      <c r="I117" s="26">
        <f>COUNT(G117:G117)</f>
        <v>1</v>
      </c>
      <c r="J117" s="26">
        <f>IF(I117 &gt;= H117,0,1)</f>
        <v>0</v>
      </c>
      <c r="K117" s="26">
        <f>IF(AND(I117 &gt; 0,H117=0),1,0)</f>
        <v>0</v>
      </c>
      <c r="L117" s="26"/>
      <c r="M117" s="26"/>
      <c r="N117" s="26"/>
      <c r="O117" s="26"/>
      <c r="P117" s="26"/>
      <c r="Q117" s="26"/>
      <c r="R117" s="26"/>
      <c r="S117" s="26"/>
      <c r="T117" s="26"/>
    </row>
    <row r="118" spans="4:20" x14ac:dyDescent="0.25">
      <c r="D118" s="26" t="s">
        <v>41</v>
      </c>
      <c r="E118" s="26">
        <v>12</v>
      </c>
      <c r="F118" s="30" t="s">
        <v>44</v>
      </c>
      <c r="G118" s="25">
        <v>3</v>
      </c>
      <c r="H118" s="26">
        <f>IF(TRIM(F118)="",0,1)</f>
        <v>1</v>
      </c>
      <c r="I118" s="26">
        <f>COUNT(G118:G118)</f>
        <v>1</v>
      </c>
      <c r="J118" s="26">
        <f>IF(I118 &gt;= H118,0,1)</f>
        <v>0</v>
      </c>
      <c r="K118" s="26">
        <f>IF(AND(I118 &gt; 0,H118=0),1,0)</f>
        <v>0</v>
      </c>
      <c r="L118" s="26"/>
      <c r="M118" s="26"/>
      <c r="N118" s="26"/>
      <c r="O118" s="26"/>
      <c r="P118" s="26"/>
      <c r="Q118" s="26"/>
      <c r="R118" s="26"/>
      <c r="S118" s="26"/>
      <c r="T118" s="26"/>
    </row>
    <row r="119" spans="4:20" x14ac:dyDescent="0.25">
      <c r="D119" s="26" t="s">
        <v>41</v>
      </c>
      <c r="E119" s="26">
        <v>22</v>
      </c>
      <c r="F119" s="30" t="s">
        <v>44</v>
      </c>
      <c r="G119" s="25">
        <v>3</v>
      </c>
      <c r="H119" s="26">
        <f>IF(TRIM(F119)="",0,1)</f>
        <v>1</v>
      </c>
      <c r="I119" s="26">
        <f>COUNT(G119:G119)</f>
        <v>1</v>
      </c>
      <c r="J119" s="26">
        <f>IF(I119 &gt;= H119,0,1)</f>
        <v>0</v>
      </c>
      <c r="K119" s="26">
        <f>IF(AND(I119 &gt; 0,H119=0),1,0)</f>
        <v>0</v>
      </c>
      <c r="L119" s="26"/>
      <c r="M119" s="26"/>
      <c r="N119" s="26"/>
      <c r="O119" s="26"/>
      <c r="P119" s="26"/>
      <c r="Q119" s="26"/>
      <c r="R119" s="26"/>
      <c r="S119" s="26"/>
      <c r="T119" s="26"/>
    </row>
    <row r="120" spans="4:20" x14ac:dyDescent="0.25">
      <c r="D120" s="26" t="s">
        <v>41</v>
      </c>
      <c r="E120" s="26">
        <v>38</v>
      </c>
      <c r="F120" s="30" t="s">
        <v>44</v>
      </c>
      <c r="G120" s="25">
        <v>3</v>
      </c>
      <c r="H120" s="26">
        <f>IF(TRIM(F120)="",0,1)</f>
        <v>1</v>
      </c>
      <c r="I120" s="26">
        <f>COUNT(G120:G120)</f>
        <v>1</v>
      </c>
      <c r="J120" s="26">
        <f>IF(I120 &gt;= H120,0,1)</f>
        <v>0</v>
      </c>
      <c r="K120" s="26">
        <f>IF(AND(I120 &gt; 0,H120=0),1,0)</f>
        <v>0</v>
      </c>
      <c r="L120" s="26"/>
      <c r="M120" s="26"/>
      <c r="N120" s="26"/>
      <c r="O120" s="26"/>
      <c r="P120" s="26"/>
      <c r="Q120" s="26"/>
      <c r="R120" s="26"/>
      <c r="S120" s="26"/>
      <c r="T120" s="26"/>
    </row>
    <row r="121" spans="4:20" x14ac:dyDescent="0.25">
      <c r="D121" s="26" t="s">
        <v>41</v>
      </c>
      <c r="E121" s="26">
        <v>55</v>
      </c>
      <c r="F121" s="30" t="s">
        <v>44</v>
      </c>
      <c r="G121" s="25">
        <v>3</v>
      </c>
      <c r="H121" s="26">
        <f>IF(TRIM(F121)="",0,1)</f>
        <v>1</v>
      </c>
      <c r="I121" s="26">
        <f>COUNT(G121:G121)</f>
        <v>1</v>
      </c>
      <c r="J121" s="26">
        <f>IF(I121 &gt;= H121,0,1)</f>
        <v>0</v>
      </c>
      <c r="K121" s="26">
        <f>IF(AND(I121 &gt; 0,H121=0),1,0)</f>
        <v>0</v>
      </c>
      <c r="L121" s="26"/>
      <c r="M121" s="26"/>
      <c r="N121" s="26"/>
      <c r="O121" s="26"/>
      <c r="P121" s="26"/>
      <c r="Q121" s="26"/>
      <c r="R121" s="26"/>
      <c r="S121" s="26"/>
      <c r="T121" s="26"/>
    </row>
    <row r="122" spans="4:20" x14ac:dyDescent="0.25">
      <c r="D122" s="26" t="s">
        <v>41</v>
      </c>
      <c r="E122" s="26">
        <v>65</v>
      </c>
      <c r="F122" s="30" t="s">
        <v>44</v>
      </c>
      <c r="G122" s="25">
        <v>3</v>
      </c>
      <c r="H122" s="26">
        <f>IF(TRIM(F122)="",0,1)</f>
        <v>1</v>
      </c>
      <c r="I122" s="26">
        <f>COUNT(G122:G122)</f>
        <v>1</v>
      </c>
      <c r="J122" s="26">
        <f>IF(I122 &gt;= H122,0,1)</f>
        <v>0</v>
      </c>
      <c r="K122" s="26">
        <f>IF(AND(I122 &gt; 0,H122=0),1,0)</f>
        <v>0</v>
      </c>
      <c r="L122" s="26"/>
      <c r="M122" s="26"/>
      <c r="N122" s="26"/>
      <c r="O122" s="26"/>
      <c r="P122" s="26"/>
      <c r="Q122" s="26"/>
      <c r="R122" s="26"/>
      <c r="S122" s="26"/>
      <c r="T122" s="26"/>
    </row>
    <row r="123" spans="4:20" x14ac:dyDescent="0.25">
      <c r="D123" s="26" t="s">
        <v>41</v>
      </c>
      <c r="E123" s="26">
        <v>74</v>
      </c>
      <c r="F123" s="30" t="s">
        <v>44</v>
      </c>
      <c r="G123" s="25">
        <v>3</v>
      </c>
      <c r="H123" s="26">
        <f>IF(TRIM(F123)="",0,1)</f>
        <v>1</v>
      </c>
      <c r="I123" s="26">
        <f>COUNT(G123:G123)</f>
        <v>1</v>
      </c>
      <c r="J123" s="26">
        <f>IF(I123 &gt;= H123,0,1)</f>
        <v>0</v>
      </c>
      <c r="K123" s="26">
        <f>IF(AND(I123 &gt; 0,H123=0),1,0)</f>
        <v>0</v>
      </c>
      <c r="L123" s="26"/>
      <c r="M123" s="26"/>
      <c r="N123" s="26"/>
      <c r="O123" s="26"/>
      <c r="P123" s="26"/>
      <c r="Q123" s="26"/>
      <c r="R123" s="26"/>
      <c r="S123" s="26"/>
      <c r="T123" s="26"/>
    </row>
    <row r="124" spans="4:20" x14ac:dyDescent="0.25">
      <c r="D124" s="26" t="s">
        <v>41</v>
      </c>
      <c r="E124" s="26">
        <v>37</v>
      </c>
      <c r="F124" s="30" t="s">
        <v>52</v>
      </c>
      <c r="G124" s="25">
        <v>3</v>
      </c>
      <c r="H124" s="26">
        <f>IF(TRIM(F124)="",0,1)</f>
        <v>1</v>
      </c>
      <c r="I124" s="26">
        <f>COUNT(G124:G124)</f>
        <v>1</v>
      </c>
      <c r="J124" s="26">
        <f>IF(I124 &gt;= H124,0,1)</f>
        <v>0</v>
      </c>
      <c r="K124" s="26">
        <f>IF(AND(I124 &gt; 0,H124=0),1,0)</f>
        <v>0</v>
      </c>
      <c r="L124" s="26"/>
      <c r="M124" s="26"/>
      <c r="N124" s="26"/>
      <c r="O124" s="26"/>
      <c r="P124" s="26"/>
      <c r="Q124" s="26"/>
      <c r="R124" s="26"/>
      <c r="S124" s="26"/>
      <c r="T124" s="26"/>
    </row>
    <row r="125" spans="4:20" x14ac:dyDescent="0.25">
      <c r="D125" s="26" t="s">
        <v>41</v>
      </c>
      <c r="E125" s="26">
        <v>39</v>
      </c>
      <c r="F125" s="30" t="s">
        <v>52</v>
      </c>
      <c r="G125" s="25">
        <v>3</v>
      </c>
      <c r="H125" s="26">
        <f>IF(TRIM(F125)="",0,1)</f>
        <v>1</v>
      </c>
      <c r="I125" s="26">
        <f>COUNT(G125:G125)</f>
        <v>1</v>
      </c>
      <c r="J125" s="26">
        <f>IF(I125 &gt;= H125,0,1)</f>
        <v>0</v>
      </c>
      <c r="K125" s="26">
        <f>IF(AND(I125 &gt; 0,H125=0),1,0)</f>
        <v>0</v>
      </c>
      <c r="L125" s="26"/>
      <c r="M125" s="26"/>
      <c r="N125" s="26"/>
      <c r="O125" s="26"/>
      <c r="P125" s="26"/>
      <c r="Q125" s="26"/>
      <c r="R125" s="26"/>
      <c r="S125" s="26"/>
      <c r="T125" s="26"/>
    </row>
    <row r="126" spans="4:20" x14ac:dyDescent="0.25">
      <c r="D126" s="26" t="s">
        <v>41</v>
      </c>
      <c r="E126" s="26">
        <v>43</v>
      </c>
      <c r="F126" s="30" t="s">
        <v>52</v>
      </c>
      <c r="G126" s="25">
        <v>3</v>
      </c>
      <c r="H126" s="26">
        <f>IF(TRIM(F126)="",0,1)</f>
        <v>1</v>
      </c>
      <c r="I126" s="26">
        <f>COUNT(G126:G126)</f>
        <v>1</v>
      </c>
      <c r="J126" s="26">
        <f>IF(I126 &gt;= H126,0,1)</f>
        <v>0</v>
      </c>
      <c r="K126" s="26">
        <f>IF(AND(I126 &gt; 0,H126=0),1,0)</f>
        <v>0</v>
      </c>
      <c r="L126" s="26"/>
      <c r="M126" s="26"/>
      <c r="N126" s="26"/>
      <c r="O126" s="26"/>
      <c r="P126" s="26"/>
      <c r="Q126" s="26"/>
      <c r="R126" s="26"/>
      <c r="S126" s="26"/>
      <c r="T126" s="26"/>
    </row>
    <row r="127" spans="4:20" x14ac:dyDescent="0.25">
      <c r="D127" s="26" t="s">
        <v>41</v>
      </c>
      <c r="E127" s="26">
        <v>53</v>
      </c>
      <c r="F127" s="30" t="s">
        <v>52</v>
      </c>
      <c r="G127" s="25">
        <v>3</v>
      </c>
      <c r="H127" s="26">
        <f>IF(TRIM(F127)="",0,1)</f>
        <v>1</v>
      </c>
      <c r="I127" s="26">
        <f>COUNT(G127:G127)</f>
        <v>1</v>
      </c>
      <c r="J127" s="26">
        <f>IF(I127 &gt;= H127,0,1)</f>
        <v>0</v>
      </c>
      <c r="K127" s="26">
        <f>IF(AND(I127 &gt; 0,H127=0),1,0)</f>
        <v>0</v>
      </c>
      <c r="L127" s="26"/>
      <c r="M127" s="26"/>
      <c r="N127" s="26"/>
      <c r="O127" s="26"/>
      <c r="P127" s="26"/>
      <c r="Q127" s="26"/>
      <c r="R127" s="26"/>
      <c r="S127" s="26"/>
      <c r="T127" s="26"/>
    </row>
    <row r="128" spans="4:20" x14ac:dyDescent="0.25">
      <c r="D128" s="26" t="s">
        <v>41</v>
      </c>
      <c r="E128" s="26">
        <v>64</v>
      </c>
      <c r="F128" s="30" t="s">
        <v>52</v>
      </c>
      <c r="G128" s="25">
        <v>3</v>
      </c>
      <c r="H128" s="26">
        <f>IF(TRIM(F128)="",0,1)</f>
        <v>1</v>
      </c>
      <c r="I128" s="26">
        <f>COUNT(G128:G128)</f>
        <v>1</v>
      </c>
      <c r="J128" s="26">
        <f>IF(I128 &gt;= H128,0,1)</f>
        <v>0</v>
      </c>
      <c r="K128" s="26">
        <f>IF(AND(I128 &gt; 0,H128=0),1,0)</f>
        <v>0</v>
      </c>
      <c r="L128" s="26"/>
      <c r="M128" s="26"/>
      <c r="N128" s="26"/>
      <c r="O128" s="26"/>
      <c r="P128" s="26"/>
      <c r="Q128" s="26"/>
      <c r="R128" s="26"/>
      <c r="S128" s="26"/>
      <c r="T128" s="26"/>
    </row>
    <row r="129" spans="4:20" x14ac:dyDescent="0.25">
      <c r="D129" s="26" t="s">
        <v>41</v>
      </c>
      <c r="E129" s="26">
        <v>86</v>
      </c>
      <c r="F129" s="30" t="s">
        <v>52</v>
      </c>
      <c r="G129" s="25">
        <v>3</v>
      </c>
      <c r="H129" s="26">
        <f>IF(TRIM(F129)="",0,1)</f>
        <v>1</v>
      </c>
      <c r="I129" s="26">
        <f>COUNT(G129:G129)</f>
        <v>1</v>
      </c>
      <c r="J129" s="26">
        <f>IF(I129 &gt;= H129,0,1)</f>
        <v>0</v>
      </c>
      <c r="K129" s="26">
        <f>IF(AND(I129 &gt; 0,H129=0),1,0)</f>
        <v>0</v>
      </c>
      <c r="L129" s="26"/>
      <c r="M129" s="26"/>
      <c r="N129" s="26"/>
      <c r="O129" s="26"/>
      <c r="P129" s="26"/>
      <c r="Q129" s="26"/>
      <c r="R129" s="26"/>
      <c r="S129" s="26"/>
      <c r="T129" s="26"/>
    </row>
    <row r="130" spans="4:20" x14ac:dyDescent="0.25">
      <c r="D130" s="26" t="s">
        <v>41</v>
      </c>
      <c r="E130" s="26">
        <v>89</v>
      </c>
      <c r="F130" s="30" t="s">
        <v>52</v>
      </c>
      <c r="G130" s="25">
        <v>3</v>
      </c>
      <c r="H130" s="26">
        <f>IF(TRIM(F130)="",0,1)</f>
        <v>1</v>
      </c>
      <c r="I130" s="26">
        <f>COUNT(G130:G130)</f>
        <v>1</v>
      </c>
      <c r="J130" s="26">
        <f>IF(I130 &gt;= H130,0,1)</f>
        <v>0</v>
      </c>
      <c r="K130" s="26">
        <f>IF(AND(I130 &gt; 0,H130=0),1,0)</f>
        <v>0</v>
      </c>
      <c r="L130" s="26"/>
      <c r="M130" s="26"/>
      <c r="N130" s="26"/>
      <c r="O130" s="26"/>
      <c r="P130" s="26"/>
      <c r="Q130" s="26"/>
      <c r="R130" s="26"/>
      <c r="S130" s="26"/>
      <c r="T130" s="26"/>
    </row>
    <row r="131" spans="4:20" x14ac:dyDescent="0.25">
      <c r="D131" s="26" t="s">
        <v>41</v>
      </c>
      <c r="E131" s="26">
        <v>93</v>
      </c>
      <c r="F131" s="30" t="s">
        <v>52</v>
      </c>
      <c r="G131" s="25">
        <v>3</v>
      </c>
      <c r="H131" s="26">
        <f>IF(TRIM(F131)="",0,1)</f>
        <v>1</v>
      </c>
      <c r="I131" s="26">
        <f>COUNT(G131:G131)</f>
        <v>1</v>
      </c>
      <c r="J131" s="26">
        <f>IF(I131 &gt;= H131,0,1)</f>
        <v>0</v>
      </c>
      <c r="K131" s="26">
        <f>IF(AND(I131 &gt; 0,H131=0),1,0)</f>
        <v>0</v>
      </c>
      <c r="L131" s="26"/>
      <c r="M131" s="26"/>
      <c r="N131" s="26"/>
      <c r="O131" s="26"/>
      <c r="P131" s="26"/>
      <c r="Q131" s="26"/>
      <c r="R131" s="26"/>
      <c r="S131" s="26"/>
      <c r="T131" s="26"/>
    </row>
    <row r="132" spans="4:20" x14ac:dyDescent="0.25">
      <c r="D132" s="26" t="s">
        <v>41</v>
      </c>
      <c r="E132" s="26">
        <v>100</v>
      </c>
      <c r="F132" s="30" t="s">
        <v>52</v>
      </c>
      <c r="G132" s="25">
        <v>3</v>
      </c>
      <c r="H132" s="26">
        <f>IF(TRIM(F132)="",0,1)</f>
        <v>1</v>
      </c>
      <c r="I132" s="26">
        <f>COUNT(G132:G132)</f>
        <v>1</v>
      </c>
      <c r="J132" s="26">
        <f>IF(I132 &gt;= H132,0,1)</f>
        <v>0</v>
      </c>
      <c r="K132" s="26">
        <f>IF(AND(I132 &gt; 0,H132=0),1,0)</f>
        <v>0</v>
      </c>
      <c r="L132" s="26"/>
      <c r="M132" s="26"/>
      <c r="N132" s="26"/>
      <c r="O132" s="26"/>
      <c r="P132" s="26"/>
      <c r="Q132" s="26"/>
      <c r="R132" s="26"/>
      <c r="S132" s="26"/>
      <c r="T132" s="26"/>
    </row>
  </sheetData>
  <sheetProtection sheet="1" objects="1" scenarios="1" formatCells="0" formatColumns="0" formatRows="0" sort="0" autoFilter="0"/>
  <autoFilter ref="D32:T132">
    <sortState ref="D33:T132">
      <sortCondition descending="1" ref="F32:F132"/>
    </sortState>
  </autoFilter>
  <mergeCells count="2">
    <mergeCell ref="H11:J14"/>
    <mergeCell ref="H17:J30"/>
  </mergeCells>
  <conditionalFormatting sqref="H17">
    <cfRule type="cellIs" dxfId="1" priority="2" operator="notEqual">
      <formula>""</formula>
    </cfRule>
  </conditionalFormatting>
  <conditionalFormatting sqref="H11:J14">
    <cfRule type="expression" dxfId="0" priority="1">
      <formula>H6=H7</formula>
    </cfRule>
  </conditionalFormatting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Spinner 1">
              <controlPr locked="0" defaultSize="0" autoPict="0">
                <anchor moveWithCells="1" siz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4</xdr:col>
                    <xdr:colOff>0</xdr:colOff>
                    <xdr:row>24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30</vt:i4>
      </vt:variant>
    </vt:vector>
  </HeadingPairs>
  <TitlesOfParts>
    <vt:vector size="33" baseType="lpstr">
      <vt:lpstr>Codestufen</vt:lpstr>
      <vt:lpstr>Q6</vt:lpstr>
      <vt:lpstr>Q7</vt:lpstr>
      <vt:lpstr>'Q6'!V_AnzVariablen</vt:lpstr>
      <vt:lpstr>'Q7'!V_AnzVariablen</vt:lpstr>
      <vt:lpstr>'Q6'!V_B_Q6_AnzZuord</vt:lpstr>
      <vt:lpstr>'Q6'!V_B_Q6_AnzZuordOVerb</vt:lpstr>
      <vt:lpstr>'Q6'!V_B_Q6_Codestufen</vt:lpstr>
      <vt:lpstr>'Q6'!V_B_Q6_CodestufenName</vt:lpstr>
      <vt:lpstr>'Q6'!V_B_Q6_Datensaetze</vt:lpstr>
      <vt:lpstr>'Q6'!V_B_Q6_Verbatims</vt:lpstr>
      <vt:lpstr>'Q6'!V_B_Q6_Zuord</vt:lpstr>
      <vt:lpstr>'Q7'!V_B_Q7_AnzZuord</vt:lpstr>
      <vt:lpstr>'Q7'!V_B_Q7_AnzZuordOVerb</vt:lpstr>
      <vt:lpstr>'Q7'!V_B_Q7_Codestufen</vt:lpstr>
      <vt:lpstr>'Q7'!V_B_Q7_CodestufenName</vt:lpstr>
      <vt:lpstr>'Q7'!V_B_Q7_Datensaetze</vt:lpstr>
      <vt:lpstr>'Q7'!V_B_Q7_Verbatims</vt:lpstr>
      <vt:lpstr>'Q7'!V_B_Q7_Zuord</vt:lpstr>
      <vt:lpstr>'Q6'!V_W_Q6_AnzZuord</vt:lpstr>
      <vt:lpstr>'Q6'!V_W_Q6_AnzZuordOVerb</vt:lpstr>
      <vt:lpstr>'Q6'!V_W_Q6_Codestufen</vt:lpstr>
      <vt:lpstr>'Q6'!V_W_Q6_CodestufenName</vt:lpstr>
      <vt:lpstr>'Q6'!V_W_Q6_Datensaetze</vt:lpstr>
      <vt:lpstr>'Q6'!V_W_Q6_Verbatims</vt:lpstr>
      <vt:lpstr>'Q6'!V_W_Q6_Zuord</vt:lpstr>
      <vt:lpstr>'Q7'!V_W_Q7_AnzZuord</vt:lpstr>
      <vt:lpstr>'Q7'!V_W_Q7_AnzZuordOVerb</vt:lpstr>
      <vt:lpstr>'Q7'!V_W_Q7_Codestufen</vt:lpstr>
      <vt:lpstr>'Q7'!V_W_Q7_CodestufenName</vt:lpstr>
      <vt:lpstr>'Q7'!V_W_Q7_Datensaetze</vt:lpstr>
      <vt:lpstr>'Q7'!V_W_Q7_Verbatims</vt:lpstr>
      <vt:lpstr>'Q7'!V_W_Q7_Zuord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 Wilke</dc:creator>
  <cp:lastModifiedBy>Wolf Wilke</cp:lastModifiedBy>
  <dcterms:created xsi:type="dcterms:W3CDTF">2020-12-04T10:56:45Z</dcterms:created>
  <dcterms:modified xsi:type="dcterms:W3CDTF">2020-12-04T11:02:19Z</dcterms:modified>
</cp:coreProperties>
</file>