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5.xml" ContentType="application/vnd.ms-excel.controlproperties+xml"/>
  <Override PartName="/xl/drawings/drawing5.xml" ContentType="application/vnd.openxmlformats-officedocument.drawing+xml"/>
  <Override PartName="/xl/ctrlProps/ctrlProp6.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updateLinks="always" codeName="DieseArbeitsmappe" hidePivotFieldList="1" defaultThemeVersion="124226"/>
  <mc:AlternateContent xmlns:mc="http://schemas.openxmlformats.org/markup-compatibility/2006">
    <mc:Choice Requires="x15">
      <x15ac:absPath xmlns:x15ac="http://schemas.microsoft.com/office/spreadsheetml/2010/11/ac" url="K:\Git\datenanpassr\inst\extdata\"/>
    </mc:Choice>
  </mc:AlternateContent>
  <xr:revisionPtr revIDLastSave="0" documentId="8_{297C3922-F56E-4D56-A040-08059FAFC385}" xr6:coauthVersionLast="47" xr6:coauthVersionMax="47" xr10:uidLastSave="{00000000-0000-0000-0000-000000000000}"/>
  <bookViews>
    <workbookView xWindow="-120" yWindow="-120" windowWidth="38640" windowHeight="20925" tabRatio="914" xr2:uid="{00000000-000D-0000-FFFF-FFFF00000000}"/>
  </bookViews>
  <sheets>
    <sheet name="Variables" sheetId="1" r:id="rId1"/>
    <sheet name="Label" sheetId="17" r:id="rId2"/>
    <sheet name="Verbatims" sheetId="31" r:id="rId3"/>
    <sheet name="Free1" sheetId="24" r:id="rId4"/>
    <sheet name="Free2" sheetId="34" r:id="rId5"/>
    <sheet name="Tabelle1" sheetId="25" state="hidden" r:id="rId6"/>
  </sheets>
  <externalReferences>
    <externalReference r:id="rId7"/>
  </externalReferences>
  <definedNames>
    <definedName name="_GoBack" localSheetId="0">Variables!$M$11</definedName>
    <definedName name="Beliebig" localSheetId="3">Free1!$B:$XFD</definedName>
    <definedName name="Beliebig" localSheetId="4">Free2!$B:$XFD</definedName>
    <definedName name="Leeren" localSheetId="0">Variables!$A$3:$Y$54</definedName>
    <definedName name="R_id_var">Variables!$T$1</definedName>
    <definedName name="R_lab_before_var_sheet">Label!$F$1</definedName>
    <definedName name="R_miss_rec_lab">Variables!$R$1</definedName>
    <definedName name="R_miss_rec_val">Variables!$P$1</definedName>
    <definedName name="V_LabelvorVariablen">Label!$F$1</definedName>
    <definedName name="V_Lexikon">[1]!V_Lexikon</definedName>
    <definedName name="V_SysmisLab">Variables!$R$1</definedName>
    <definedName name="V_SysmisVal">Variables!$P$1</definedName>
    <definedName name="V_Variablen">Variables!$V:$X</definedName>
    <definedName name="V_VariablenEigenschaften">Variables!$A:$M</definedName>
    <definedName name="V_Verbatims_Code">Verbatims!$B$19:$R$19</definedName>
    <definedName name="V_Verbatims_Ergebnisdatei">Verbatims!$D$9</definedName>
    <definedName name="V_Verbatims_IDFormat">Verbatims!$D$6</definedName>
    <definedName name="V_Verbatims_IDVar">Verbatims!$D$5</definedName>
    <definedName name="V_Verbatims_InputDatei">Verbatims!$D$10</definedName>
    <definedName name="V_Verbatims_InputFrom">Verbatims!$D$12</definedName>
    <definedName name="V_Verbatims_InputTo">Verbatims!$D$13</definedName>
    <definedName name="V_VerbatimsDateiReplace">Verbatims!$D$7</definedName>
    <definedName name="V_VerbatimsDaten">Verbatims!$D$4</definedName>
    <definedName name="Vorlage" localSheetId="1">Label!#REF!</definedName>
    <definedName name="Vorlage" localSheetId="0">Variables!#REF!</definedName>
    <definedName name="Vorlage" localSheetId="2">Verbatims!$B$15:$R$15</definedName>
    <definedName name="Werte" localSheetId="3">Free1!$A$2:$A$43</definedName>
    <definedName name="Werte" localSheetId="4">Free2!$A$2:$A$275</definedName>
    <definedName name="Werte" localSheetId="1">Label!$A$3:$K$354</definedName>
    <definedName name="Werte" localSheetId="0">Variables!$K$3:$Y$54</definedName>
    <definedName name="Werte" localSheetId="2">Verbatims!$B$19:$R$19</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M33" i="1" l="1"/>
  <c r="P34" i="1"/>
  <c r="M34" i="1" s="1"/>
  <c r="P35" i="1" l="1"/>
  <c r="P36" i="1" l="1"/>
  <c r="M35" i="1"/>
  <c r="C268" i="34"/>
  <c r="C269" i="34"/>
  <c r="C270" i="34"/>
  <c r="C271" i="34"/>
  <c r="C272" i="34"/>
  <c r="C273" i="34"/>
  <c r="C267" i="34"/>
  <c r="P37" i="1" l="1"/>
  <c r="M36" i="1"/>
  <c r="G17" i="24"/>
  <c r="F17" i="24"/>
  <c r="G16" i="24"/>
  <c r="F16" i="24"/>
  <c r="G15" i="24"/>
  <c r="I15" i="24" s="1"/>
  <c r="I16" i="24" s="1"/>
  <c r="I17" i="24" s="1"/>
  <c r="F15" i="24"/>
  <c r="H15" i="24" s="1"/>
  <c r="G10" i="24"/>
  <c r="F10" i="24"/>
  <c r="G9" i="24"/>
  <c r="F9" i="24"/>
  <c r="G8" i="24"/>
  <c r="I8" i="24" s="1"/>
  <c r="F8" i="24"/>
  <c r="H8" i="24" s="1"/>
  <c r="R19" i="31"/>
  <c r="H19" i="31"/>
  <c r="S3" i="1"/>
  <c r="S4" i="1" s="1"/>
  <c r="S5" i="1" s="1"/>
  <c r="S6" i="1" s="1"/>
  <c r="S7" i="1" s="1"/>
  <c r="S8" i="1" s="1"/>
  <c r="S9" i="1" s="1"/>
  <c r="S10" i="1" s="1"/>
  <c r="S11" i="1" s="1"/>
  <c r="S12" i="1" s="1"/>
  <c r="S13" i="1" s="1"/>
  <c r="S14" i="1" s="1"/>
  <c r="S15" i="1" s="1"/>
  <c r="S16" i="1" s="1"/>
  <c r="S17" i="1" s="1"/>
  <c r="S18" i="1" s="1"/>
  <c r="S19" i="1" s="1"/>
  <c r="S20" i="1" s="1"/>
  <c r="S21" i="1" s="1"/>
  <c r="S22" i="1" s="1"/>
  <c r="S23" i="1" s="1"/>
  <c r="S24" i="1" s="1"/>
  <c r="S25" i="1" s="1"/>
  <c r="S26" i="1" s="1"/>
  <c r="S27" i="1" s="1"/>
  <c r="S28" i="1" s="1"/>
  <c r="S29" i="1" s="1"/>
  <c r="S30" i="1" s="1"/>
  <c r="S31" i="1" s="1"/>
  <c r="S32" i="1" s="1"/>
  <c r="S33" i="1" s="1"/>
  <c r="S34" i="1" s="1"/>
  <c r="S35" i="1" s="1"/>
  <c r="S36" i="1" s="1"/>
  <c r="S37" i="1" s="1"/>
  <c r="S38" i="1" s="1"/>
  <c r="S39" i="1" s="1"/>
  <c r="S40" i="1" s="1"/>
  <c r="S41" i="1" s="1"/>
  <c r="S42" i="1" s="1"/>
  <c r="S43" i="1" s="1"/>
  <c r="S44" i="1" s="1"/>
  <c r="S45" i="1" s="1"/>
  <c r="S46" i="1" s="1"/>
  <c r="S47" i="1" s="1"/>
  <c r="S48" i="1" s="1"/>
  <c r="S49" i="1" s="1"/>
  <c r="S50" i="1" s="1"/>
  <c r="S51" i="1" s="1"/>
  <c r="S52" i="1" s="1"/>
  <c r="S53" i="1" s="1"/>
  <c r="S54" i="1" s="1"/>
  <c r="P38" i="1" l="1"/>
  <c r="M37" i="1"/>
  <c r="H16" i="24"/>
  <c r="H17" i="24" s="1"/>
  <c r="H9" i="24"/>
  <c r="H10" i="24" s="1"/>
  <c r="I9" i="24"/>
  <c r="I10" i="24" s="1"/>
  <c r="P39" i="1" l="1"/>
  <c r="M38" i="1"/>
  <c r="K354" i="17"/>
  <c r="F354" i="17"/>
  <c r="K353" i="17"/>
  <c r="F353" i="17"/>
  <c r="K352" i="17"/>
  <c r="F352" i="17"/>
  <c r="K351" i="17"/>
  <c r="F351" i="17"/>
  <c r="K350" i="17"/>
  <c r="F350" i="17"/>
  <c r="K349" i="17"/>
  <c r="F349" i="17"/>
  <c r="K348" i="17"/>
  <c r="F348" i="17"/>
  <c r="K347" i="17"/>
  <c r="F347" i="17"/>
  <c r="K346" i="17"/>
  <c r="F346" i="17"/>
  <c r="K345" i="17"/>
  <c r="F345" i="17"/>
  <c r="K344" i="17"/>
  <c r="F344" i="17"/>
  <c r="K343" i="17"/>
  <c r="F343" i="17"/>
  <c r="K342" i="17"/>
  <c r="F342" i="17"/>
  <c r="K341" i="17"/>
  <c r="F341" i="17"/>
  <c r="K340" i="17"/>
  <c r="F340" i="17"/>
  <c r="K339" i="17"/>
  <c r="F339" i="17"/>
  <c r="K338" i="17"/>
  <c r="F338" i="17"/>
  <c r="K337" i="17"/>
  <c r="F337" i="17"/>
  <c r="K336" i="17"/>
  <c r="F336" i="17"/>
  <c r="K335" i="17"/>
  <c r="F335" i="17"/>
  <c r="K334" i="17"/>
  <c r="F334" i="17"/>
  <c r="K333" i="17"/>
  <c r="F333" i="17"/>
  <c r="K332" i="17"/>
  <c r="F332" i="17"/>
  <c r="K331" i="17"/>
  <c r="F331" i="17"/>
  <c r="K330" i="17"/>
  <c r="F330" i="17"/>
  <c r="K329" i="17"/>
  <c r="F329" i="17"/>
  <c r="K328" i="17"/>
  <c r="F328" i="17"/>
  <c r="K327" i="17"/>
  <c r="F327" i="17"/>
  <c r="K326" i="17"/>
  <c r="F326" i="17"/>
  <c r="K325" i="17"/>
  <c r="F325" i="17"/>
  <c r="K324" i="17"/>
  <c r="F324" i="17"/>
  <c r="K323" i="17"/>
  <c r="F323" i="17"/>
  <c r="K322" i="17"/>
  <c r="F322" i="17"/>
  <c r="K321" i="17"/>
  <c r="F321" i="17"/>
  <c r="K320" i="17"/>
  <c r="F320" i="17"/>
  <c r="K319" i="17"/>
  <c r="F319" i="17"/>
  <c r="K318" i="17"/>
  <c r="F318" i="17"/>
  <c r="K317" i="17"/>
  <c r="F317" i="17"/>
  <c r="K316" i="17"/>
  <c r="F316" i="17"/>
  <c r="K315" i="17"/>
  <c r="F315" i="17"/>
  <c r="K314" i="17"/>
  <c r="F314" i="17"/>
  <c r="K313" i="17"/>
  <c r="F313" i="17"/>
  <c r="K312" i="17"/>
  <c r="F312" i="17"/>
  <c r="K311" i="17"/>
  <c r="F311" i="17"/>
  <c r="K310" i="17"/>
  <c r="F310" i="17"/>
  <c r="K309" i="17"/>
  <c r="F309" i="17"/>
  <c r="K308" i="17"/>
  <c r="F308" i="17"/>
  <c r="K307" i="17"/>
  <c r="F307" i="17"/>
  <c r="K306" i="17"/>
  <c r="F306" i="17"/>
  <c r="K305" i="17"/>
  <c r="F305" i="17"/>
  <c r="K304" i="17"/>
  <c r="F304" i="17"/>
  <c r="K303" i="17"/>
  <c r="F303" i="17"/>
  <c r="K302" i="17"/>
  <c r="F302" i="17"/>
  <c r="K301" i="17"/>
  <c r="F301" i="17"/>
  <c r="K300" i="17"/>
  <c r="F300" i="17"/>
  <c r="K299" i="17"/>
  <c r="F299" i="17"/>
  <c r="K298" i="17"/>
  <c r="F298" i="17"/>
  <c r="K297" i="17"/>
  <c r="F297" i="17"/>
  <c r="K296" i="17"/>
  <c r="F296" i="17"/>
  <c r="K295" i="17"/>
  <c r="F295" i="17"/>
  <c r="K294" i="17"/>
  <c r="F294" i="17"/>
  <c r="K293" i="17"/>
  <c r="F293" i="17"/>
  <c r="K292" i="17"/>
  <c r="F292" i="17"/>
  <c r="K291" i="17"/>
  <c r="F291" i="17"/>
  <c r="K290" i="17"/>
  <c r="F290" i="17"/>
  <c r="K289" i="17"/>
  <c r="F289" i="17"/>
  <c r="K288" i="17"/>
  <c r="F288" i="17"/>
  <c r="K287" i="17"/>
  <c r="F287" i="17"/>
  <c r="K286" i="17"/>
  <c r="F286" i="17"/>
  <c r="K285" i="17"/>
  <c r="F285" i="17"/>
  <c r="K284" i="17"/>
  <c r="F284" i="17"/>
  <c r="K283" i="17"/>
  <c r="F283" i="17"/>
  <c r="K282" i="17"/>
  <c r="F282" i="17"/>
  <c r="K281" i="17"/>
  <c r="F281" i="17"/>
  <c r="K280" i="17"/>
  <c r="F280" i="17"/>
  <c r="K279" i="17"/>
  <c r="F279" i="17"/>
  <c r="K278" i="17"/>
  <c r="F278" i="17"/>
  <c r="K277" i="17"/>
  <c r="F277" i="17"/>
  <c r="K276" i="17"/>
  <c r="F276" i="17"/>
  <c r="K275" i="17"/>
  <c r="F275" i="17"/>
  <c r="K274" i="17"/>
  <c r="F274" i="17"/>
  <c r="K273" i="17"/>
  <c r="F273" i="17"/>
  <c r="K272" i="17"/>
  <c r="F272" i="17"/>
  <c r="K271" i="17"/>
  <c r="F271" i="17"/>
  <c r="K270" i="17"/>
  <c r="F270" i="17"/>
  <c r="K269" i="17"/>
  <c r="F269" i="17"/>
  <c r="K268" i="17"/>
  <c r="F268" i="17"/>
  <c r="K267" i="17"/>
  <c r="F267" i="17"/>
  <c r="K266" i="17"/>
  <c r="F266" i="17"/>
  <c r="K265" i="17"/>
  <c r="F265" i="17"/>
  <c r="K264" i="17"/>
  <c r="F264" i="17"/>
  <c r="K263" i="17"/>
  <c r="F263" i="17"/>
  <c r="K262" i="17"/>
  <c r="F262" i="17"/>
  <c r="K261" i="17"/>
  <c r="F261" i="17"/>
  <c r="K260" i="17"/>
  <c r="F260" i="17"/>
  <c r="K259" i="17"/>
  <c r="F259" i="17"/>
  <c r="K258" i="17"/>
  <c r="F258" i="17"/>
  <c r="K257" i="17"/>
  <c r="F257" i="17"/>
  <c r="K256" i="17"/>
  <c r="F256" i="17"/>
  <c r="K255" i="17"/>
  <c r="F255" i="17"/>
  <c r="K254" i="17"/>
  <c r="F254" i="17"/>
  <c r="K253" i="17"/>
  <c r="F253" i="17"/>
  <c r="K252" i="17"/>
  <c r="F252" i="17"/>
  <c r="K251" i="17"/>
  <c r="F251" i="17"/>
  <c r="K250" i="17"/>
  <c r="F250" i="17"/>
  <c r="K249" i="17"/>
  <c r="F249" i="17"/>
  <c r="K248" i="17"/>
  <c r="F248" i="17"/>
  <c r="K247" i="17"/>
  <c r="F247" i="17"/>
  <c r="K246" i="17"/>
  <c r="F246" i="17"/>
  <c r="K245" i="17"/>
  <c r="F245" i="17"/>
  <c r="K244" i="17"/>
  <c r="F244" i="17"/>
  <c r="K243" i="17"/>
  <c r="F243" i="17"/>
  <c r="K242" i="17"/>
  <c r="F242" i="17"/>
  <c r="K241" i="17"/>
  <c r="F241" i="17"/>
  <c r="K240" i="17"/>
  <c r="F240" i="17"/>
  <c r="K239" i="17"/>
  <c r="F239" i="17"/>
  <c r="K238" i="17"/>
  <c r="F238" i="17"/>
  <c r="K237" i="17"/>
  <c r="F237" i="17"/>
  <c r="K236" i="17"/>
  <c r="F236" i="17"/>
  <c r="K235" i="17"/>
  <c r="F235" i="17"/>
  <c r="K234" i="17"/>
  <c r="F234" i="17"/>
  <c r="K233" i="17"/>
  <c r="F233" i="17"/>
  <c r="K232" i="17"/>
  <c r="F232" i="17"/>
  <c r="K231" i="17"/>
  <c r="F231" i="17"/>
  <c r="K230" i="17"/>
  <c r="F230" i="17"/>
  <c r="K229" i="17"/>
  <c r="F229" i="17"/>
  <c r="K228" i="17"/>
  <c r="F228" i="17"/>
  <c r="K227" i="17"/>
  <c r="F227" i="17"/>
  <c r="K226" i="17"/>
  <c r="F226" i="17"/>
  <c r="K225" i="17"/>
  <c r="F225" i="17"/>
  <c r="K224" i="17"/>
  <c r="F224" i="17"/>
  <c r="K223" i="17"/>
  <c r="F223" i="17"/>
  <c r="K222" i="17"/>
  <c r="F222" i="17"/>
  <c r="K221" i="17"/>
  <c r="F221" i="17"/>
  <c r="K220" i="17"/>
  <c r="F220" i="17"/>
  <c r="K219" i="17"/>
  <c r="F219" i="17"/>
  <c r="K218" i="17"/>
  <c r="F218" i="17"/>
  <c r="K217" i="17"/>
  <c r="F217" i="17"/>
  <c r="K216" i="17"/>
  <c r="F216" i="17"/>
  <c r="K215" i="17"/>
  <c r="F215" i="17"/>
  <c r="K214" i="17"/>
  <c r="F214" i="17"/>
  <c r="K213" i="17"/>
  <c r="F213" i="17"/>
  <c r="K212" i="17"/>
  <c r="F212" i="17"/>
  <c r="K211" i="17"/>
  <c r="F211" i="17"/>
  <c r="K210" i="17"/>
  <c r="F210" i="17"/>
  <c r="K209" i="17"/>
  <c r="F209" i="17"/>
  <c r="K208" i="17"/>
  <c r="F208" i="17"/>
  <c r="K207" i="17"/>
  <c r="F207" i="17"/>
  <c r="K206" i="17"/>
  <c r="F206" i="17"/>
  <c r="K205" i="17"/>
  <c r="F205" i="17"/>
  <c r="K204" i="17"/>
  <c r="F204" i="17"/>
  <c r="K203" i="17"/>
  <c r="F203" i="17"/>
  <c r="K202" i="17"/>
  <c r="F202" i="17"/>
  <c r="K201" i="17"/>
  <c r="F201" i="17"/>
  <c r="K200" i="17"/>
  <c r="F200" i="17"/>
  <c r="K199" i="17"/>
  <c r="F199" i="17"/>
  <c r="K198" i="17"/>
  <c r="F198" i="17"/>
  <c r="K197" i="17"/>
  <c r="F197" i="17"/>
  <c r="K196" i="17"/>
  <c r="F196" i="17"/>
  <c r="K195" i="17"/>
  <c r="F195" i="17"/>
  <c r="K194" i="17"/>
  <c r="F194" i="17"/>
  <c r="K193" i="17"/>
  <c r="F193" i="17"/>
  <c r="K192" i="17"/>
  <c r="F192" i="17"/>
  <c r="K191" i="17"/>
  <c r="F191" i="17"/>
  <c r="K190" i="17"/>
  <c r="F190" i="17"/>
  <c r="K189" i="17"/>
  <c r="F189" i="17"/>
  <c r="K188" i="17"/>
  <c r="F188" i="17"/>
  <c r="K187" i="17"/>
  <c r="F187" i="17"/>
  <c r="K186" i="17"/>
  <c r="F186" i="17"/>
  <c r="K185" i="17"/>
  <c r="F185" i="17"/>
  <c r="K184" i="17"/>
  <c r="F184" i="17"/>
  <c r="K183" i="17"/>
  <c r="F183" i="17"/>
  <c r="K182" i="17"/>
  <c r="F182" i="17"/>
  <c r="K181" i="17"/>
  <c r="F181" i="17"/>
  <c r="K180" i="17"/>
  <c r="F180" i="17"/>
  <c r="K179" i="17"/>
  <c r="F179" i="17"/>
  <c r="K178" i="17"/>
  <c r="F178" i="17"/>
  <c r="K177" i="17"/>
  <c r="F177" i="17"/>
  <c r="K176" i="17"/>
  <c r="F176" i="17"/>
  <c r="K175" i="17"/>
  <c r="F175" i="17"/>
  <c r="K174" i="17"/>
  <c r="F174" i="17"/>
  <c r="K173" i="17"/>
  <c r="F173" i="17"/>
  <c r="K172" i="17"/>
  <c r="F172" i="17"/>
  <c r="K171" i="17"/>
  <c r="F171" i="17"/>
  <c r="K170" i="17"/>
  <c r="F170" i="17"/>
  <c r="K169" i="17"/>
  <c r="F169" i="17"/>
  <c r="K168" i="17"/>
  <c r="F168" i="17"/>
  <c r="K167" i="17"/>
  <c r="F167" i="17"/>
  <c r="K166" i="17"/>
  <c r="F166" i="17"/>
  <c r="K165" i="17"/>
  <c r="F165" i="17"/>
  <c r="K164" i="17"/>
  <c r="F164" i="17"/>
  <c r="K163" i="17"/>
  <c r="F163" i="17"/>
  <c r="K162" i="17"/>
  <c r="F162" i="17"/>
  <c r="K161" i="17"/>
  <c r="F161" i="17"/>
  <c r="K160" i="17"/>
  <c r="F160" i="17"/>
  <c r="K159" i="17"/>
  <c r="F159" i="17"/>
  <c r="K158" i="17"/>
  <c r="F158" i="17"/>
  <c r="K157" i="17"/>
  <c r="F157" i="17"/>
  <c r="K156" i="17"/>
  <c r="F156" i="17"/>
  <c r="K155" i="17"/>
  <c r="F155" i="17"/>
  <c r="K154" i="17"/>
  <c r="F154" i="17"/>
  <c r="K153" i="17"/>
  <c r="F153" i="17"/>
  <c r="K152" i="17"/>
  <c r="F152" i="17"/>
  <c r="K151" i="17"/>
  <c r="F151" i="17"/>
  <c r="K150" i="17"/>
  <c r="F150" i="17"/>
  <c r="K149" i="17"/>
  <c r="F149" i="17"/>
  <c r="K148" i="17"/>
  <c r="F148" i="17"/>
  <c r="K147" i="17"/>
  <c r="F147" i="17"/>
  <c r="K146" i="17"/>
  <c r="F146" i="17"/>
  <c r="K145" i="17"/>
  <c r="F145" i="17"/>
  <c r="K144" i="17"/>
  <c r="F144" i="17"/>
  <c r="K143" i="17"/>
  <c r="F143" i="17"/>
  <c r="K142" i="17"/>
  <c r="F142" i="17"/>
  <c r="K141" i="17"/>
  <c r="F141" i="17"/>
  <c r="K140" i="17"/>
  <c r="F140" i="17"/>
  <c r="K139" i="17"/>
  <c r="F139" i="17"/>
  <c r="K138" i="17"/>
  <c r="F138" i="17"/>
  <c r="K137" i="17"/>
  <c r="F137" i="17"/>
  <c r="K136" i="17"/>
  <c r="F136" i="17"/>
  <c r="K135" i="17"/>
  <c r="F135" i="17"/>
  <c r="K134" i="17"/>
  <c r="F134" i="17"/>
  <c r="K133" i="17"/>
  <c r="F133" i="17"/>
  <c r="K132" i="17"/>
  <c r="F132" i="17"/>
  <c r="K131" i="17"/>
  <c r="F131" i="17"/>
  <c r="K130" i="17"/>
  <c r="F130" i="17"/>
  <c r="K129" i="17"/>
  <c r="F129" i="17"/>
  <c r="K128" i="17"/>
  <c r="F128" i="17"/>
  <c r="K127" i="17"/>
  <c r="F127" i="17"/>
  <c r="K126" i="17"/>
  <c r="F126" i="17"/>
  <c r="K125" i="17"/>
  <c r="F125" i="17"/>
  <c r="K124" i="17"/>
  <c r="F124" i="17"/>
  <c r="K123" i="17"/>
  <c r="F123" i="17"/>
  <c r="K122" i="17"/>
  <c r="F122" i="17"/>
  <c r="K121" i="17"/>
  <c r="F121" i="17"/>
  <c r="K120" i="17"/>
  <c r="F120" i="17"/>
  <c r="K119" i="17"/>
  <c r="F119" i="17"/>
  <c r="K118" i="17"/>
  <c r="F118" i="17"/>
  <c r="K117" i="17"/>
  <c r="F117" i="17"/>
  <c r="K116" i="17"/>
  <c r="F116" i="17"/>
  <c r="K115" i="17"/>
  <c r="F115" i="17"/>
  <c r="K114" i="17"/>
  <c r="F114" i="17"/>
  <c r="K113" i="17"/>
  <c r="F113" i="17"/>
  <c r="K112" i="17"/>
  <c r="F112" i="17"/>
  <c r="K111" i="17"/>
  <c r="F111" i="17"/>
  <c r="K110" i="17"/>
  <c r="F110" i="17"/>
  <c r="K109" i="17"/>
  <c r="F109" i="17"/>
  <c r="K108" i="17"/>
  <c r="F108" i="17"/>
  <c r="K107" i="17"/>
  <c r="F107" i="17"/>
  <c r="K106" i="17"/>
  <c r="F106" i="17"/>
  <c r="K105" i="17"/>
  <c r="F105" i="17"/>
  <c r="K104" i="17"/>
  <c r="F104" i="17"/>
  <c r="K103" i="17"/>
  <c r="F103" i="17"/>
  <c r="K102" i="17"/>
  <c r="F102" i="17"/>
  <c r="K101" i="17"/>
  <c r="F101" i="17"/>
  <c r="K100" i="17"/>
  <c r="F100" i="17"/>
  <c r="K99" i="17"/>
  <c r="F99" i="17"/>
  <c r="K98" i="17"/>
  <c r="F98" i="17"/>
  <c r="K97" i="17"/>
  <c r="F97" i="17"/>
  <c r="K96" i="17"/>
  <c r="F96" i="17"/>
  <c r="K95" i="17"/>
  <c r="F95" i="17"/>
  <c r="K94" i="17"/>
  <c r="F94" i="17"/>
  <c r="K93" i="17"/>
  <c r="F93" i="17"/>
  <c r="K92" i="17"/>
  <c r="F92" i="17"/>
  <c r="K91" i="17"/>
  <c r="F91" i="17"/>
  <c r="K90" i="17"/>
  <c r="F90" i="17"/>
  <c r="K89" i="17"/>
  <c r="F89" i="17"/>
  <c r="K88" i="17"/>
  <c r="F88" i="17"/>
  <c r="K87" i="17"/>
  <c r="F87" i="17"/>
  <c r="K86" i="17"/>
  <c r="F86" i="17"/>
  <c r="K85" i="17"/>
  <c r="F85" i="17"/>
  <c r="K84" i="17"/>
  <c r="F84" i="17"/>
  <c r="K83" i="17"/>
  <c r="F83" i="17"/>
  <c r="K82" i="17"/>
  <c r="F82" i="17"/>
  <c r="K81" i="17"/>
  <c r="F81" i="17"/>
  <c r="K80" i="17"/>
  <c r="F80" i="17"/>
  <c r="K79" i="17"/>
  <c r="F79" i="17"/>
  <c r="K78" i="17"/>
  <c r="F78" i="17"/>
  <c r="K77" i="17"/>
  <c r="F77" i="17"/>
  <c r="K76" i="17"/>
  <c r="F76" i="17"/>
  <c r="K75" i="17"/>
  <c r="F75" i="17"/>
  <c r="K74" i="17"/>
  <c r="F74" i="17"/>
  <c r="K73" i="17"/>
  <c r="F73" i="17"/>
  <c r="K72" i="17"/>
  <c r="F72" i="17"/>
  <c r="K71" i="17"/>
  <c r="F71" i="17"/>
  <c r="K70" i="17"/>
  <c r="F70" i="17"/>
  <c r="K69" i="17"/>
  <c r="F69" i="17"/>
  <c r="K68" i="17"/>
  <c r="F68" i="17"/>
  <c r="K67" i="17"/>
  <c r="F67" i="17"/>
  <c r="K66" i="17"/>
  <c r="F66" i="17"/>
  <c r="K65" i="17"/>
  <c r="F65" i="17"/>
  <c r="K64" i="17"/>
  <c r="F64" i="17"/>
  <c r="K63" i="17"/>
  <c r="F63" i="17"/>
  <c r="K62" i="17"/>
  <c r="F62" i="17"/>
  <c r="K61" i="17"/>
  <c r="F61" i="17"/>
  <c r="K60" i="17"/>
  <c r="F60" i="17"/>
  <c r="K59" i="17"/>
  <c r="F59" i="17"/>
  <c r="K58" i="17"/>
  <c r="F58" i="17"/>
  <c r="K57" i="17"/>
  <c r="F57" i="17"/>
  <c r="K56" i="17"/>
  <c r="F56" i="17"/>
  <c r="K55" i="17"/>
  <c r="F55" i="17"/>
  <c r="K54" i="17"/>
  <c r="F54" i="17"/>
  <c r="K53" i="17"/>
  <c r="F53" i="17"/>
  <c r="K52" i="17"/>
  <c r="F52" i="17"/>
  <c r="K51" i="17"/>
  <c r="F51" i="17"/>
  <c r="K50" i="17"/>
  <c r="F50" i="17"/>
  <c r="K49" i="17"/>
  <c r="F49" i="17"/>
  <c r="K48" i="17"/>
  <c r="F48" i="17"/>
  <c r="K47" i="17"/>
  <c r="F47" i="17"/>
  <c r="K46" i="17"/>
  <c r="F46" i="17"/>
  <c r="K45" i="17"/>
  <c r="F45" i="17"/>
  <c r="K44" i="17"/>
  <c r="F44" i="17"/>
  <c r="K43" i="17"/>
  <c r="F43" i="17"/>
  <c r="K42" i="17"/>
  <c r="F42" i="17"/>
  <c r="K41" i="17"/>
  <c r="F41" i="17"/>
  <c r="K40" i="17"/>
  <c r="F40" i="17"/>
  <c r="K39" i="17"/>
  <c r="F39" i="17"/>
  <c r="K38" i="17"/>
  <c r="F38" i="17"/>
  <c r="K37" i="17"/>
  <c r="F37" i="17"/>
  <c r="K36" i="17"/>
  <c r="F36" i="17"/>
  <c r="K35" i="17"/>
  <c r="F35" i="17"/>
  <c r="K34" i="17"/>
  <c r="F34" i="17"/>
  <c r="K33" i="17"/>
  <c r="F33" i="17"/>
  <c r="K32" i="17"/>
  <c r="F32" i="17"/>
  <c r="K31" i="17"/>
  <c r="F31" i="17"/>
  <c r="K30" i="17"/>
  <c r="F30" i="17"/>
  <c r="K29" i="17"/>
  <c r="F29" i="17"/>
  <c r="K28" i="17"/>
  <c r="F28" i="17"/>
  <c r="K27" i="17"/>
  <c r="F27" i="17"/>
  <c r="K26" i="17"/>
  <c r="F26" i="17"/>
  <c r="K25" i="17"/>
  <c r="F25" i="17"/>
  <c r="K24" i="17"/>
  <c r="F24" i="17"/>
  <c r="K23" i="17"/>
  <c r="F23" i="17"/>
  <c r="K22" i="17"/>
  <c r="F22" i="17"/>
  <c r="K21" i="17"/>
  <c r="F21" i="17"/>
  <c r="K20" i="17"/>
  <c r="F20" i="17"/>
  <c r="K19" i="17"/>
  <c r="F19" i="17"/>
  <c r="K18" i="17"/>
  <c r="F18" i="17"/>
  <c r="K17" i="17"/>
  <c r="F17" i="17"/>
  <c r="K16" i="17"/>
  <c r="F16" i="17"/>
  <c r="K15" i="17"/>
  <c r="F15" i="17"/>
  <c r="K14" i="17"/>
  <c r="F14" i="17"/>
  <c r="K13" i="17"/>
  <c r="F13" i="17"/>
  <c r="K12" i="17"/>
  <c r="F12" i="17"/>
  <c r="K11" i="17"/>
  <c r="F11" i="17"/>
  <c r="K10" i="17"/>
  <c r="F10" i="17"/>
  <c r="K9" i="17"/>
  <c r="F9" i="17"/>
  <c r="K8" i="17"/>
  <c r="F8" i="17"/>
  <c r="K7" i="17"/>
  <c r="F7" i="17"/>
  <c r="K6" i="17"/>
  <c r="F6" i="17"/>
  <c r="K5" i="17"/>
  <c r="F5" i="17"/>
  <c r="K4" i="17"/>
  <c r="F4" i="17"/>
  <c r="K3" i="17"/>
  <c r="F3" i="17"/>
  <c r="E3" i="17"/>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E201" i="17" s="1"/>
  <c r="E202" i="17" s="1"/>
  <c r="E203" i="17" s="1"/>
  <c r="E204" i="17" s="1"/>
  <c r="E205" i="17" s="1"/>
  <c r="E206" i="17" s="1"/>
  <c r="E207" i="17" s="1"/>
  <c r="E208" i="17" s="1"/>
  <c r="E209" i="17" s="1"/>
  <c r="E210" i="17" s="1"/>
  <c r="E211" i="17" s="1"/>
  <c r="E212" i="17" s="1"/>
  <c r="E213" i="17" s="1"/>
  <c r="E214" i="17" s="1"/>
  <c r="E215" i="17" s="1"/>
  <c r="E216" i="17" s="1"/>
  <c r="E217" i="17" s="1"/>
  <c r="E218" i="17" s="1"/>
  <c r="E219" i="17" s="1"/>
  <c r="E220" i="17" s="1"/>
  <c r="E221" i="17" s="1"/>
  <c r="E222" i="17" s="1"/>
  <c r="E223" i="17" s="1"/>
  <c r="E224" i="17" s="1"/>
  <c r="E225" i="17" s="1"/>
  <c r="E226" i="17" s="1"/>
  <c r="E227" i="17" s="1"/>
  <c r="E228" i="17" s="1"/>
  <c r="E229" i="17" s="1"/>
  <c r="E230" i="17" s="1"/>
  <c r="E231" i="17" s="1"/>
  <c r="E232" i="17" s="1"/>
  <c r="E233" i="17" s="1"/>
  <c r="E234" i="17" s="1"/>
  <c r="E235" i="17" s="1"/>
  <c r="E236" i="17" s="1"/>
  <c r="E237" i="17" s="1"/>
  <c r="E238" i="17" s="1"/>
  <c r="E239" i="17" s="1"/>
  <c r="E240" i="17" s="1"/>
  <c r="E241" i="17" s="1"/>
  <c r="E242" i="17" s="1"/>
  <c r="E243" i="17" s="1"/>
  <c r="E244" i="17" s="1"/>
  <c r="E245" i="17" s="1"/>
  <c r="E246" i="17" s="1"/>
  <c r="E247" i="17" s="1"/>
  <c r="E248" i="17" s="1"/>
  <c r="E249" i="17" s="1"/>
  <c r="E250" i="17" s="1"/>
  <c r="E251" i="17" s="1"/>
  <c r="E252" i="17" s="1"/>
  <c r="E253" i="17" s="1"/>
  <c r="E254" i="17" s="1"/>
  <c r="E255" i="17" s="1"/>
  <c r="E256" i="17" s="1"/>
  <c r="E257" i="17" s="1"/>
  <c r="E258" i="17" s="1"/>
  <c r="E259" i="17" s="1"/>
  <c r="E260" i="17" s="1"/>
  <c r="E261" i="17" s="1"/>
  <c r="E262" i="17" s="1"/>
  <c r="E263" i="17" s="1"/>
  <c r="E264" i="17" s="1"/>
  <c r="E265" i="17" s="1"/>
  <c r="E266" i="17" s="1"/>
  <c r="E267" i="17" s="1"/>
  <c r="E268" i="17" s="1"/>
  <c r="E269" i="17" s="1"/>
  <c r="E270" i="17" s="1"/>
  <c r="E271" i="17" s="1"/>
  <c r="E272" i="17" s="1"/>
  <c r="E273" i="17" s="1"/>
  <c r="E274" i="17" s="1"/>
  <c r="E275" i="17" s="1"/>
  <c r="E276" i="17" s="1"/>
  <c r="E277" i="17" s="1"/>
  <c r="E278" i="17" s="1"/>
  <c r="E279" i="17" s="1"/>
  <c r="E280" i="17" s="1"/>
  <c r="E281" i="17" s="1"/>
  <c r="E282" i="17" s="1"/>
  <c r="E283" i="17" s="1"/>
  <c r="E284" i="17" s="1"/>
  <c r="E285" i="17" s="1"/>
  <c r="E286" i="17" s="1"/>
  <c r="E287" i="17" s="1"/>
  <c r="E288" i="17" s="1"/>
  <c r="E289" i="17" s="1"/>
  <c r="E290" i="17" s="1"/>
  <c r="E291" i="17" s="1"/>
  <c r="E292" i="17" s="1"/>
  <c r="E293" i="17" s="1"/>
  <c r="E294" i="17" s="1"/>
  <c r="E295" i="17" s="1"/>
  <c r="E296" i="17" s="1"/>
  <c r="E297" i="17" s="1"/>
  <c r="E298" i="17" s="1"/>
  <c r="E299" i="17" s="1"/>
  <c r="E300" i="17" s="1"/>
  <c r="E301" i="17" s="1"/>
  <c r="E302" i="17" s="1"/>
  <c r="E303" i="17" s="1"/>
  <c r="E304" i="17" s="1"/>
  <c r="E305" i="17" s="1"/>
  <c r="E306" i="17" s="1"/>
  <c r="E307" i="17" s="1"/>
  <c r="E308" i="17" s="1"/>
  <c r="E309" i="17" s="1"/>
  <c r="E310" i="17" s="1"/>
  <c r="E311" i="17" s="1"/>
  <c r="E312" i="17" s="1"/>
  <c r="E313" i="17" s="1"/>
  <c r="E314" i="17" s="1"/>
  <c r="E315" i="17" s="1"/>
  <c r="E316" i="17" s="1"/>
  <c r="E317" i="17" s="1"/>
  <c r="E318" i="17" s="1"/>
  <c r="E319" i="17" s="1"/>
  <c r="E320" i="17" s="1"/>
  <c r="E321" i="17" s="1"/>
  <c r="E322" i="17" s="1"/>
  <c r="E323" i="17" s="1"/>
  <c r="E324" i="17" s="1"/>
  <c r="E325" i="17" s="1"/>
  <c r="E326" i="17" s="1"/>
  <c r="E327" i="17" s="1"/>
  <c r="E328" i="17" s="1"/>
  <c r="E329" i="17" s="1"/>
  <c r="E330" i="17" s="1"/>
  <c r="E331" i="17" s="1"/>
  <c r="E332" i="17" s="1"/>
  <c r="E333" i="17" s="1"/>
  <c r="E334" i="17" s="1"/>
  <c r="E335" i="17" s="1"/>
  <c r="E336" i="17" s="1"/>
  <c r="E337" i="17" s="1"/>
  <c r="E338" i="17" s="1"/>
  <c r="E339" i="17" s="1"/>
  <c r="E340" i="17" s="1"/>
  <c r="E341" i="17" s="1"/>
  <c r="E342" i="17" s="1"/>
  <c r="E343" i="17" s="1"/>
  <c r="E344" i="17" s="1"/>
  <c r="E345" i="17" s="1"/>
  <c r="E346" i="17" s="1"/>
  <c r="E347" i="17" s="1"/>
  <c r="E348" i="17" s="1"/>
  <c r="E349" i="17" s="1"/>
  <c r="E350" i="17" s="1"/>
  <c r="E351" i="17" s="1"/>
  <c r="E352" i="17" s="1"/>
  <c r="E353" i="17" s="1"/>
  <c r="E354" i="17" s="1"/>
  <c r="Y3" i="1"/>
  <c r="Y4" i="1" s="1"/>
  <c r="W3" i="1"/>
  <c r="P40" i="1" l="1"/>
  <c r="M39" i="1"/>
  <c r="Y5" i="1"/>
  <c r="W4" i="1"/>
  <c r="X3" i="1"/>
  <c r="P41" i="1" l="1"/>
  <c r="M40" i="1"/>
  <c r="X4" i="1"/>
  <c r="V3" i="1"/>
  <c r="Y6" i="1"/>
  <c r="W5" i="1"/>
  <c r="P42" i="1" l="1"/>
  <c r="M41" i="1"/>
  <c r="X5" i="1"/>
  <c r="V4" i="1"/>
  <c r="Y7" i="1"/>
  <c r="W6" i="1"/>
  <c r="V5" i="1" s="1"/>
  <c r="P43" i="1" l="1"/>
  <c r="M42" i="1"/>
  <c r="Y8" i="1"/>
  <c r="W7" i="1"/>
  <c r="V6" i="1" s="1"/>
  <c r="X6" i="1"/>
  <c r="P44" i="1" l="1"/>
  <c r="M43" i="1"/>
  <c r="X7" i="1"/>
  <c r="Y9" i="1"/>
  <c r="W8" i="1"/>
  <c r="V7" i="1" s="1"/>
  <c r="P45" i="1" l="1"/>
  <c r="M44" i="1"/>
  <c r="Y10" i="1"/>
  <c r="W9" i="1"/>
  <c r="V8" i="1" s="1"/>
  <c r="X8" i="1"/>
  <c r="P46" i="1" l="1"/>
  <c r="M45" i="1"/>
  <c r="X9" i="1"/>
  <c r="Y11" i="1"/>
  <c r="W10" i="1"/>
  <c r="V9" i="1" s="1"/>
  <c r="P47" i="1" l="1"/>
  <c r="M46" i="1"/>
  <c r="Y12" i="1"/>
  <c r="W11" i="1"/>
  <c r="V10" i="1" s="1"/>
  <c r="X10" i="1"/>
  <c r="P48" i="1" l="1"/>
  <c r="M48" i="1" s="1"/>
  <c r="M47" i="1"/>
  <c r="X11" i="1"/>
  <c r="Y13" i="1"/>
  <c r="W12" i="1"/>
  <c r="V11" i="1" s="1"/>
  <c r="Y14" i="1" l="1"/>
  <c r="W13" i="1"/>
  <c r="V12" i="1" s="1"/>
  <c r="X12" i="1"/>
  <c r="X13" i="1" l="1"/>
  <c r="Y15" i="1"/>
  <c r="W14" i="1"/>
  <c r="V13" i="1" s="1"/>
  <c r="Y16" i="1" l="1"/>
  <c r="W15" i="1"/>
  <c r="V14" i="1" s="1"/>
  <c r="X14" i="1"/>
  <c r="X15" i="1" l="1"/>
  <c r="Y17" i="1"/>
  <c r="W16" i="1"/>
  <c r="V15" i="1" s="1"/>
  <c r="Y18" i="1" l="1"/>
  <c r="W17" i="1"/>
  <c r="V16" i="1" s="1"/>
  <c r="X16" i="1"/>
  <c r="X17" i="1" l="1"/>
  <c r="Y19" i="1"/>
  <c r="W18" i="1"/>
  <c r="V17" i="1" s="1"/>
  <c r="Y20" i="1" l="1"/>
  <c r="W19" i="1"/>
  <c r="V18" i="1" s="1"/>
  <c r="X18" i="1"/>
  <c r="X19" i="1" l="1"/>
  <c r="Y21" i="1"/>
  <c r="W20" i="1"/>
  <c r="V19" i="1" s="1"/>
  <c r="Y22" i="1" l="1"/>
  <c r="W21" i="1"/>
  <c r="V20" i="1" s="1"/>
  <c r="X20" i="1"/>
  <c r="X21" i="1" l="1"/>
  <c r="Y23" i="1"/>
  <c r="W22" i="1"/>
  <c r="V21" i="1" s="1"/>
  <c r="Y24" i="1" l="1"/>
  <c r="W23" i="1"/>
  <c r="V22" i="1" s="1"/>
  <c r="X22" i="1"/>
  <c r="X23" i="1" l="1"/>
  <c r="Y25" i="1"/>
  <c r="W24" i="1"/>
  <c r="V23" i="1" s="1"/>
  <c r="Y26" i="1" l="1"/>
  <c r="W25" i="1"/>
  <c r="V24" i="1" s="1"/>
  <c r="X24" i="1"/>
  <c r="X25" i="1" l="1"/>
  <c r="Y27" i="1"/>
  <c r="W26" i="1"/>
  <c r="V25" i="1" s="1"/>
  <c r="H15" i="31"/>
  <c r="Y28" i="1" l="1"/>
  <c r="W27" i="1"/>
  <c r="V26" i="1" s="1"/>
  <c r="X26" i="1"/>
  <c r="X27" i="1" l="1"/>
  <c r="Y29" i="1"/>
  <c r="W28" i="1"/>
  <c r="V27" i="1" s="1"/>
  <c r="Y30" i="1" l="1"/>
  <c r="W29" i="1"/>
  <c r="V28" i="1" s="1"/>
  <c r="X28" i="1"/>
  <c r="X29" i="1" l="1"/>
  <c r="Y31" i="1"/>
  <c r="W30" i="1"/>
  <c r="V29" i="1" s="1"/>
  <c r="R15" i="31"/>
  <c r="Y32" i="1" l="1"/>
  <c r="W31" i="1"/>
  <c r="V30" i="1" s="1"/>
  <c r="X30" i="1"/>
  <c r="X31" i="1" l="1"/>
  <c r="Y33" i="1"/>
  <c r="W32" i="1"/>
  <c r="V31" i="1" s="1"/>
  <c r="Y34" i="1" l="1"/>
  <c r="W33" i="1"/>
  <c r="V32" i="1" s="1"/>
  <c r="X32" i="1"/>
  <c r="X33" i="1" l="1"/>
  <c r="Y35" i="1"/>
  <c r="W34" i="1"/>
  <c r="V33" i="1" s="1"/>
  <c r="Y36" i="1" l="1"/>
  <c r="W35" i="1"/>
  <c r="V34" i="1" s="1"/>
  <c r="X34" i="1"/>
  <c r="D9" i="31"/>
  <c r="T54" i="1" l="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X35" i="1"/>
  <c r="Y37" i="1"/>
  <c r="W36" i="1"/>
  <c r="X36" i="1" l="1"/>
  <c r="Y38" i="1"/>
  <c r="W37" i="1"/>
  <c r="V36" i="1" s="1"/>
  <c r="V35" i="1"/>
  <c r="Y39" i="1" l="1"/>
  <c r="W38" i="1"/>
  <c r="V37" i="1" s="1"/>
  <c r="X37" i="1"/>
  <c r="X38" i="1" l="1"/>
  <c r="Y40" i="1"/>
  <c r="W39" i="1"/>
  <c r="V38" i="1" s="1"/>
  <c r="Y41" i="1" l="1"/>
  <c r="W40" i="1"/>
  <c r="V39" i="1" s="1"/>
  <c r="X39" i="1"/>
  <c r="X40" i="1" l="1"/>
  <c r="Y42" i="1"/>
  <c r="W41" i="1"/>
  <c r="V40" i="1" s="1"/>
  <c r="Y43" i="1" l="1"/>
  <c r="W42" i="1"/>
  <c r="V41" i="1" s="1"/>
  <c r="X41" i="1"/>
  <c r="X42" i="1" l="1"/>
  <c r="Y44" i="1"/>
  <c r="W43" i="1"/>
  <c r="V42" i="1" s="1"/>
  <c r="Y45" i="1" l="1"/>
  <c r="W44" i="1"/>
  <c r="V43" i="1" s="1"/>
  <c r="X43" i="1"/>
  <c r="X44" i="1" l="1"/>
  <c r="Y46" i="1"/>
  <c r="W45" i="1"/>
  <c r="V44" i="1" s="1"/>
  <c r="Y47" i="1" l="1"/>
  <c r="W46" i="1"/>
  <c r="V45" i="1" s="1"/>
  <c r="X45" i="1"/>
  <c r="X46" i="1" l="1"/>
  <c r="Y48" i="1"/>
  <c r="W47" i="1"/>
  <c r="V46" i="1" s="1"/>
  <c r="Y49" i="1" l="1"/>
  <c r="W48" i="1"/>
  <c r="V47" i="1" s="1"/>
  <c r="X47" i="1"/>
  <c r="X48" i="1" l="1"/>
  <c r="Y50" i="1"/>
  <c r="W49" i="1"/>
  <c r="V48" i="1" s="1"/>
  <c r="Y51" i="1" l="1"/>
  <c r="W50" i="1"/>
  <c r="V49" i="1" s="1"/>
  <c r="X49" i="1"/>
  <c r="X50" i="1" l="1"/>
  <c r="Y52" i="1"/>
  <c r="W51" i="1"/>
  <c r="V50" i="1" s="1"/>
  <c r="Y53" i="1" l="1"/>
  <c r="W52" i="1"/>
  <c r="V51" i="1" s="1"/>
  <c r="X51" i="1"/>
  <c r="X52" i="1" l="1"/>
  <c r="Y54" i="1"/>
  <c r="W53" i="1"/>
  <c r="V52" i="1" s="1"/>
  <c r="W54" i="1" l="1"/>
  <c r="V53" i="1" s="1"/>
  <c r="X53" i="1"/>
  <c r="X54" i="1" l="1"/>
  <c r="V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wolf</author>
  </authors>
  <commentList>
    <comment ref="P1" authorId="0" shapeId="0" xr:uid="{00000000-0006-0000-0200-000001000000}">
      <text>
        <r>
          <rPr>
            <b/>
            <sz val="9"/>
            <color indexed="81"/>
            <rFont val="Segoe UI"/>
            <family val="2"/>
          </rPr>
          <t>wolf:</t>
        </r>
        <r>
          <rPr>
            <sz val="9"/>
            <color indexed="81"/>
            <rFont val="Segoe UI"/>
            <family val="2"/>
          </rPr>
          <t xml:space="preserve">
set all system missing values to this value, leave empty to keep them</t>
        </r>
      </text>
    </comment>
    <comment ref="R1" authorId="0" shapeId="0" xr:uid="{00000000-0006-0000-0200-000002000000}">
      <text>
        <r>
          <rPr>
            <b/>
            <sz val="9"/>
            <color indexed="81"/>
            <rFont val="Segoe UI"/>
            <family val="2"/>
          </rPr>
          <t>wolf:</t>
        </r>
        <r>
          <rPr>
            <sz val="9"/>
            <color indexed="81"/>
            <rFont val="Segoe UI"/>
            <family val="2"/>
          </rPr>
          <t xml:space="preserve">
Label for the system missing value</t>
        </r>
      </text>
    </comment>
    <comment ref="K2" authorId="0" shapeId="0" xr:uid="{00000000-0006-0000-0200-000003000000}">
      <text>
        <r>
          <rPr>
            <b/>
            <sz val="9"/>
            <color indexed="81"/>
            <rFont val="Segoe UI"/>
            <family val="2"/>
          </rPr>
          <t>wolf:</t>
        </r>
        <r>
          <rPr>
            <sz val="9"/>
            <color indexed="81"/>
            <rFont val="Segoe UI"/>
            <family val="2"/>
          </rPr>
          <t xml:space="preserve">
a- autorecode
d - delete
n - string to numeric
</t>
        </r>
      </text>
    </comment>
    <comment ref="L2" authorId="0" shapeId="0" xr:uid="{00000000-0006-0000-0200-000004000000}">
      <text>
        <r>
          <rPr>
            <b/>
            <sz val="9"/>
            <color indexed="81"/>
            <rFont val="Segoe UI"/>
            <family val="2"/>
          </rPr>
          <t>wolf:</t>
        </r>
        <r>
          <rPr>
            <sz val="9"/>
            <color indexed="81"/>
            <rFont val="Segoe UI"/>
            <family val="2"/>
          </rPr>
          <t xml:space="preserve">
new variable name</t>
        </r>
      </text>
    </comment>
    <comment ref="M2" authorId="0" shapeId="0" xr:uid="{00000000-0006-0000-0200-000005000000}">
      <text>
        <r>
          <rPr>
            <b/>
            <sz val="9"/>
            <color indexed="81"/>
            <rFont val="Segoe UI"/>
            <family val="2"/>
          </rPr>
          <t>wolf:</t>
        </r>
        <r>
          <rPr>
            <sz val="9"/>
            <color indexed="81"/>
            <rFont val="Segoe UI"/>
            <family val="2"/>
          </rPr>
          <t xml:space="preserve">
new variable label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wolf</author>
  </authors>
  <commentList>
    <comment ref="J1" authorId="0" shapeId="0" xr:uid="{00000000-0006-0000-0300-000001000000}">
      <text>
        <r>
          <rPr>
            <b/>
            <sz val="9"/>
            <color indexed="81"/>
            <rFont val="Segoe UI"/>
            <family val="2"/>
          </rPr>
          <t>wolf:</t>
        </r>
        <r>
          <rPr>
            <sz val="9"/>
            <color indexed="81"/>
            <rFont val="Segoe UI"/>
            <family val="2"/>
          </rPr>
          <t xml:space="preserve">
put n to make a new start a new value label for the variable in E instead of replacing / adding label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Wolf Wilke</author>
  </authors>
  <commentList>
    <comment ref="D7" authorId="0" shapeId="0" xr:uid="{317761D2-8622-4521-8E68-6EE68DADFC95}">
      <text>
        <r>
          <rPr>
            <b/>
            <sz val="9"/>
            <color indexed="81"/>
            <rFont val="Segoe UI"/>
            <family val="2"/>
          </rPr>
          <t>Values separated by comma will be replaced in the verbatims file (only complete cells) before adding the observation (helpful for values like 99 for no answer or alike.</t>
        </r>
        <r>
          <rPr>
            <sz val="9"/>
            <color indexed="81"/>
            <rFont val="Segoe UI"/>
            <family val="2"/>
          </rPr>
          <t xml:space="preserve">
</t>
        </r>
      </text>
    </comment>
    <comment ref="D12" authorId="0" shapeId="0" xr:uid="{00000000-0006-0000-0400-000001000000}">
      <text>
        <r>
          <rPr>
            <b/>
            <sz val="9"/>
            <color indexed="81"/>
            <rFont val="Segoe UI"/>
            <family val="2"/>
          </rPr>
          <t>Wolf Wilke:</t>
        </r>
        <r>
          <rPr>
            <sz val="9"/>
            <color indexed="81"/>
            <rFont val="Segoe UI"/>
            <family val="2"/>
          </rPr>
          <t xml:space="preserve">
line in verbatims file to start with</t>
        </r>
      </text>
    </comment>
    <comment ref="D13" authorId="0" shapeId="0" xr:uid="{00000000-0006-0000-0400-000002000000}">
      <text>
        <r>
          <rPr>
            <b/>
            <sz val="9"/>
            <color indexed="81"/>
            <rFont val="Segoe UI"/>
            <family val="2"/>
          </rPr>
          <t>Wolf Wilke:</t>
        </r>
        <r>
          <rPr>
            <sz val="9"/>
            <color indexed="81"/>
            <rFont val="Segoe UI"/>
            <family val="2"/>
          </rPr>
          <t xml:space="preserve">
if empty, read until last nonempty ID</t>
        </r>
      </text>
    </comment>
    <comment ref="N18" authorId="0" shapeId="0" xr:uid="{00000000-0006-0000-0400-000003000000}">
      <text>
        <r>
          <rPr>
            <b/>
            <sz val="9"/>
            <color indexed="81"/>
            <rFont val="Segoe UI"/>
            <family val="2"/>
          </rPr>
          <t>Wolf Wilke:</t>
        </r>
        <r>
          <rPr>
            <sz val="9"/>
            <color indexed="81"/>
            <rFont val="Segoe UI"/>
            <family val="2"/>
          </rPr>
          <t xml:space="preserve">
comma-separated list of reserved values</t>
        </r>
      </text>
    </comment>
    <comment ref="Q18" authorId="0" shapeId="0" xr:uid="{00000000-0006-0000-0400-000004000000}">
      <text>
        <r>
          <rPr>
            <b/>
            <sz val="9"/>
            <color indexed="81"/>
            <rFont val="Segoe UI"/>
            <family val="2"/>
          </rPr>
          <t>Wolf Wilke:</t>
        </r>
        <r>
          <rPr>
            <sz val="9"/>
            <color indexed="81"/>
            <rFont val="Segoe UI"/>
            <family val="2"/>
          </rPr>
          <t xml:space="preserve">
comma-separated list of further variables to show</t>
        </r>
      </text>
    </comment>
  </commentList>
</comments>
</file>

<file path=xl/sharedStrings.xml><?xml version="1.0" encoding="utf-8"?>
<sst xmlns="http://schemas.openxmlformats.org/spreadsheetml/2006/main" count="1564" uniqueCount="350">
  <si>
    <t>Variable</t>
  </si>
  <si>
    <t>Label</t>
  </si>
  <si>
    <t>Position</t>
  </si>
  <si>
    <t>Titel</t>
  </si>
  <si>
    <t>SYSMIS</t>
  </si>
  <si>
    <t>Value:</t>
  </si>
  <si>
    <t>Label:</t>
  </si>
  <si>
    <t>ID-Format</t>
  </si>
  <si>
    <t>ID-Variable</t>
  </si>
  <si>
    <t>Tabellen-blatt</t>
  </si>
  <si>
    <t>Nebeneinander?</t>
  </si>
  <si>
    <t>VariableZähler</t>
  </si>
  <si>
    <t>VariableLabel</t>
  </si>
  <si>
    <t>VariableMissing</t>
  </si>
  <si>
    <t>Max.Codestufen</t>
  </si>
  <si>
    <t>CodestufenLabel</t>
  </si>
  <si>
    <t>Max.Zuordnungen</t>
  </si>
  <si>
    <t>BisherigerWertAnzeigen?</t>
  </si>
  <si>
    <t>WeitereVariablen</t>
  </si>
  <si>
    <t>VariableOriginal</t>
  </si>
  <si>
    <t>EFA1MCG2MDG3</t>
  </si>
  <si>
    <t>VarOrigMissing</t>
  </si>
  <si>
    <t>VariableZiel</t>
  </si>
  <si>
    <t>DC_ID</t>
  </si>
  <si>
    <t>FILTER</t>
  </si>
  <si>
    <t>Variable Information</t>
  </si>
  <si>
    <t>Measurement Level</t>
  </si>
  <si>
    <t>Role</t>
  </si>
  <si>
    <t>Column Width</t>
  </si>
  <si>
    <t>Alignment</t>
  </si>
  <si>
    <t>Print Format</t>
  </si>
  <si>
    <t>Write Format</t>
  </si>
  <si>
    <t>Variable Values</t>
  </si>
  <si>
    <t>Value</t>
  </si>
  <si>
    <t>Operation</t>
  </si>
  <si>
    <t>New var name</t>
  </si>
  <si>
    <t>New var label</t>
  </si>
  <si>
    <t>New label</t>
  </si>
  <si>
    <t>Summary variable</t>
  </si>
  <si>
    <t>Variable Label</t>
  </si>
  <si>
    <t>Value Label</t>
  </si>
  <si>
    <t>a,d,n</t>
  </si>
  <si>
    <t>Excecute before variable sheet?</t>
  </si>
  <si>
    <t>Variable name</t>
  </si>
  <si>
    <t>Label length</t>
  </si>
  <si>
    <t>Original variable label</t>
  </si>
  <si>
    <t>Verbatims file</t>
  </si>
  <si>
    <t>Filename result</t>
  </si>
  <si>
    <t>Filename input</t>
  </si>
  <si>
    <t>Read from line</t>
  </si>
  <si>
    <t>Read to line</t>
  </si>
  <si>
    <t>Missing Values</t>
  </si>
  <si>
    <t>Make new label</t>
  </si>
  <si>
    <t>Daten\10_MergeFiles.xlsx</t>
  </si>
  <si>
    <t>Reserved</t>
  </si>
  <si>
    <t>Replace</t>
  </si>
  <si>
    <t>&lt;none&gt;</t>
  </si>
  <si>
    <t>Nominal</t>
  </si>
  <si>
    <t>Input</t>
  </si>
  <si>
    <t>Left</t>
  </si>
  <si>
    <t>A30</t>
  </si>
  <si>
    <t>Scale</t>
  </si>
  <si>
    <t>Right</t>
  </si>
  <si>
    <t>DATE11</t>
  </si>
  <si>
    <t>q1</t>
  </si>
  <si>
    <t>F3</t>
  </si>
  <si>
    <t>1. Wie viele Mitarbeiter beschäftigt Ihr Unternehmen?</t>
  </si>
  <si>
    <t>2. Welche Art von Studien führen Sie mit dem Tabellenbandtool durch?</t>
  </si>
  <si>
    <t>F2</t>
  </si>
  <si>
    <t>Kundenzufriedenheit</t>
  </si>
  <si>
    <t>Marktvolumen</t>
  </si>
  <si>
    <t>Onlineauftritte</t>
  </si>
  <si>
    <t>Branchenbarometer</t>
  </si>
  <si>
    <t>Strukturanalyse</t>
  </si>
  <si>
    <t>Werbewirkungsmessung</t>
  </si>
  <si>
    <t>Sonstige</t>
  </si>
  <si>
    <t>q6a</t>
  </si>
  <si>
    <t>q6b</t>
  </si>
  <si>
    <t>q6c</t>
  </si>
  <si>
    <t>q6d</t>
  </si>
  <si>
    <t>q6e</t>
  </si>
  <si>
    <t>q6f</t>
  </si>
  <si>
    <t>q6g</t>
  </si>
  <si>
    <t xml:space="preserve">4. Wie häufig haben Sie einen Tabellenband in den letzten 12 Monaten erstellen lassen? </t>
  </si>
  <si>
    <t>Schnelle Umsetzung</t>
  </si>
  <si>
    <t>Kurzfristige Anpassungen</t>
  </si>
  <si>
    <t>Korrektheit der Daten</t>
  </si>
  <si>
    <t>Freundlichkeit der Tabellenbandersteller</t>
  </si>
  <si>
    <t>Langfristige Zusammenarbeit</t>
  </si>
  <si>
    <t>Gute telefonische Erreichbarkeit</t>
  </si>
  <si>
    <t>Wochenenderreichbarkeit</t>
  </si>
  <si>
    <t>Einhaltung von Zusagen</t>
  </si>
  <si>
    <t>sel1</t>
  </si>
  <si>
    <t>Unknown</t>
  </si>
  <si>
    <t>F8.2</t>
  </si>
  <si>
    <t>1 - völlig unzufrieden</t>
  </si>
  <si>
    <t>10 - absolut zufrieden</t>
  </si>
  <si>
    <t>0 - auf keinen Fall</t>
  </si>
  <si>
    <t>10 - auf jeden Fall</t>
  </si>
  <si>
    <t>o_q5</t>
  </si>
  <si>
    <t>Q5</t>
  </si>
  <si>
    <t>97 'Sonstiges'</t>
  </si>
  <si>
    <t>1 'Freundlichkeit des Tabellenbanderstellers'</t>
  </si>
  <si>
    <t>99 'Keine Angabe'</t>
  </si>
  <si>
    <t>2 'Kompetenz'</t>
  </si>
  <si>
    <t>.</t>
  </si>
  <si>
    <t>3 'Schnelligkeit der Umsetzung'</t>
  </si>
  <si>
    <t>4 'Darstellung der Daten'</t>
  </si>
  <si>
    <t>5 'einfache Weiterverarbeitung der Daten'</t>
  </si>
  <si>
    <t>#COMP</t>
  </si>
  <si>
    <t>sel0</t>
  </si>
  <si>
    <t>#DIC</t>
  </si>
  <si>
    <t>#REC</t>
  </si>
  <si>
    <t>Tabellenbände pro Jahr</t>
  </si>
  <si>
    <t>1-2mal</t>
  </si>
  <si>
    <t>3-5mal</t>
  </si>
  <si>
    <t>&gt;5mal</t>
  </si>
  <si>
    <t>#KG</t>
  </si>
  <si>
    <t>Alter</t>
  </si>
  <si>
    <t>18 bis 39</t>
  </si>
  <si>
    <t>40 bis 49</t>
  </si>
  <si>
    <t>50 und älter</t>
  </si>
  <si>
    <t>regio</t>
  </si>
  <si>
    <t>#IF</t>
  </si>
  <si>
    <t>sel0 sel1</t>
  </si>
  <si>
    <t/>
  </si>
  <si>
    <t>gew</t>
  </si>
  <si>
    <t>völlig unwichtig</t>
  </si>
  <si>
    <t>unwichtig</t>
  </si>
  <si>
    <t>teils / teils</t>
  </si>
  <si>
    <t>wichtig</t>
  </si>
  <si>
    <t>sehr wichtig</t>
  </si>
  <si>
    <t>#VALL</t>
  </si>
  <si>
    <t>VALUE LABEL   -2 'FILTER'</t>
  </si>
  <si>
    <t>gew = .5</t>
  </si>
  <si>
    <t>gew = 2</t>
  </si>
  <si>
    <t>id</t>
  </si>
  <si>
    <t>screenout</t>
  </si>
  <si>
    <t>Abgefragte Studienarten</t>
  </si>
  <si>
    <t>q2_00</t>
  </si>
  <si>
    <t>q2_01</t>
  </si>
  <si>
    <t>q2_02</t>
  </si>
  <si>
    <t>q2_03</t>
  </si>
  <si>
    <t>q2_04</t>
  </si>
  <si>
    <t>q2_05</t>
  </si>
  <si>
    <t>q2_06</t>
  </si>
  <si>
    <t>q2_07</t>
  </si>
  <si>
    <t>q2_99</t>
  </si>
  <si>
    <t>q3a</t>
  </si>
  <si>
    <t>q3b</t>
  </si>
  <si>
    <t>q3c</t>
  </si>
  <si>
    <t>q3d</t>
  </si>
  <si>
    <t>q3e</t>
  </si>
  <si>
    <t>q3f</t>
  </si>
  <si>
    <t>q3g</t>
  </si>
  <si>
    <t>q81</t>
  </si>
  <si>
    <t>q82</t>
  </si>
  <si>
    <t>q4</t>
  </si>
  <si>
    <t>kq4</t>
  </si>
  <si>
    <t>DC_ID == 21503</t>
  </si>
  <si>
    <t>DC_ID == 29779</t>
  </si>
  <si>
    <t>DC_ID == 31190</t>
  </si>
  <si>
    <t>DC_ID == 27542</t>
  </si>
  <si>
    <t>DC_ID == 27145</t>
  </si>
  <si>
    <t>DC_ID == 43307</t>
  </si>
  <si>
    <t>DC_ID == 10014</t>
  </si>
  <si>
    <t>DC_ID == 56856</t>
  </si>
  <si>
    <t>DC_ID == 31956</t>
  </si>
  <si>
    <t>DC_ID == 52542</t>
  </si>
  <si>
    <t>DC_ID == 15545</t>
  </si>
  <si>
    <t>DC_ID == 56032</t>
  </si>
  <si>
    <t>DC_ID == 42484</t>
  </si>
  <si>
    <t>DC_ID == 51850</t>
  </si>
  <si>
    <t>DC_ID == 26142</t>
  </si>
  <si>
    <t>DC_ID == 24897</t>
  </si>
  <si>
    <t>DC_ID == 12175</t>
  </si>
  <si>
    <t>DC_ID == 21112</t>
  </si>
  <si>
    <t>DC_ID == 30155</t>
  </si>
  <si>
    <t>DC_ID == 17792</t>
  </si>
  <si>
    <t>DC_ID == 10366</t>
  </si>
  <si>
    <t>DC_ID == 30554</t>
  </si>
  <si>
    <t>DC_ID == 10600</t>
  </si>
  <si>
    <t>DC_ID == 18521</t>
  </si>
  <si>
    <t>DC_ID == 11223</t>
  </si>
  <si>
    <t>DC_ID == 40496</t>
  </si>
  <si>
    <t>DC_ID == 49353</t>
  </si>
  <si>
    <t>DC_ID == 10808</t>
  </si>
  <si>
    <t>DC_ID == 54255</t>
  </si>
  <si>
    <t>DC_ID == 13271</t>
  </si>
  <si>
    <t>DC_ID == 682</t>
  </si>
  <si>
    <t>DC_ID == 10948</t>
  </si>
  <si>
    <t>DC_ID == 36641</t>
  </si>
  <si>
    <t>DC_ID == 49232</t>
  </si>
  <si>
    <t>DC_ID == 17731</t>
  </si>
  <si>
    <t>DC_ID == 24330</t>
  </si>
  <si>
    <t>DC_ID == 49789</t>
  </si>
  <si>
    <t>DC_ID == 28146</t>
  </si>
  <si>
    <t>DC_ID == 34920</t>
  </si>
  <si>
    <t>DC_ID == 20733</t>
  </si>
  <si>
    <t>DC_ID == 36020</t>
  </si>
  <si>
    <t>DC_ID == 51947</t>
  </si>
  <si>
    <t>DC_ID == 53350</t>
  </si>
  <si>
    <t>DC_ID == 24124</t>
  </si>
  <si>
    <t>DC_ID == 579</t>
  </si>
  <si>
    <t>DC_ID == 22330</t>
  </si>
  <si>
    <t>DC_ID == 22710</t>
  </si>
  <si>
    <t>DC_ID == 35015</t>
  </si>
  <si>
    <t>DC_ID == 21739</t>
  </si>
  <si>
    <t>DC_ID == 47712</t>
  </si>
  <si>
    <t>DC_ID == 26654</t>
  </si>
  <si>
    <t>DC_ID == 314</t>
  </si>
  <si>
    <t>DC_ID == 26480</t>
  </si>
  <si>
    <t>DC_ID == 52604</t>
  </si>
  <si>
    <t>DC_ID == 50897</t>
  </si>
  <si>
    <t>DC_ID == 23661</t>
  </si>
  <si>
    <t>DC_ID == 38317</t>
  </si>
  <si>
    <t>DC_ID == 37468</t>
  </si>
  <si>
    <t>DC_ID == 32461</t>
  </si>
  <si>
    <t>DC_ID == 41143</t>
  </si>
  <si>
    <t>DC_ID == 10506</t>
  </si>
  <si>
    <t>DC_ID == 37632</t>
  </si>
  <si>
    <t>DC_ID == 11518</t>
  </si>
  <si>
    <t>DC_ID == 34771</t>
  </si>
  <si>
    <t>DC_ID == 34491</t>
  </si>
  <si>
    <t>DC_ID == 54485</t>
  </si>
  <si>
    <t>DC_ID == 43997</t>
  </si>
  <si>
    <t>DC_ID == 30199</t>
  </si>
  <si>
    <t>DC_ID == 44171</t>
  </si>
  <si>
    <t>DC_ID == 12578</t>
  </si>
  <si>
    <t>DC_ID == 39701</t>
  </si>
  <si>
    <t>DC_ID == 37780</t>
  </si>
  <si>
    <t>DC_ID == 52205</t>
  </si>
  <si>
    <t>DC_ID == 12590</t>
  </si>
  <si>
    <t>DC_ID == 55318</t>
  </si>
  <si>
    <t>DC_ID == 29392</t>
  </si>
  <si>
    <t>DC_ID == 13430</t>
  </si>
  <si>
    <t>DC_ID == 39497</t>
  </si>
  <si>
    <t>DC_ID == 12150</t>
  </si>
  <si>
    <t>DC_ID == 36663</t>
  </si>
  <si>
    <t>DC_ID == 15177</t>
  </si>
  <si>
    <t>DC_ID == 18590</t>
  </si>
  <si>
    <t>DC_ID == 50439</t>
  </si>
  <si>
    <t>DC_ID == 49397</t>
  </si>
  <si>
    <t>DC_ID == 44231</t>
  </si>
  <si>
    <t>DC_ID == 49236</t>
  </si>
  <si>
    <t>DC_ID == 28337</t>
  </si>
  <si>
    <t>DC_ID == 40892</t>
  </si>
  <si>
    <t>DC_ID == 537</t>
  </si>
  <si>
    <t>DC_ID == 43106</t>
  </si>
  <si>
    <t>DC_ID == 33005</t>
  </si>
  <si>
    <t>DC_ID == 29667</t>
  </si>
  <si>
    <t>DC_ID == 25143</t>
  </si>
  <si>
    <t>DC_ID == 22942</t>
  </si>
  <si>
    <t>DC_ID == 181</t>
  </si>
  <si>
    <t>DC_ID == 44737</t>
  </si>
  <si>
    <t>DC_ID == 49713</t>
  </si>
  <si>
    <t>DC_ID == 14488</t>
  </si>
  <si>
    <t>DC_ID == 36434</t>
  </si>
  <si>
    <t>DC_ID == 10471</t>
  </si>
  <si>
    <t>DC_ID == 57213</t>
  </si>
  <si>
    <t>DC_ID == 45104</t>
  </si>
  <si>
    <t>DC_ID == 10024</t>
  </si>
  <si>
    <t>DC_ID == 930</t>
  </si>
  <si>
    <t>DC_ID == 10208</t>
  </si>
  <si>
    <t>DC_ID == 30459</t>
  </si>
  <si>
    <t>DC_ID == 12013</t>
  </si>
  <si>
    <t>DC_ID == 45005</t>
  </si>
  <si>
    <t>DC_ID == 50430</t>
  </si>
  <si>
    <t>DC_ID == 44252</t>
  </si>
  <si>
    <t>DC_ID == 43704</t>
  </si>
  <si>
    <t>DC_ID == 30700</t>
  </si>
  <si>
    <t>DC_ID == 24325</t>
  </si>
  <si>
    <t>DC_ID == 48249</t>
  </si>
  <si>
    <t>DC_ID == 13000</t>
  </si>
  <si>
    <t>DC_ID == 27147</t>
  </si>
  <si>
    <t>DC_ID == 29772</t>
  </si>
  <si>
    <t>DC_ID == 42753</t>
  </si>
  <si>
    <t>DC_ID == 25971</t>
  </si>
  <si>
    <t>DC_ID == 46434</t>
  </si>
  <si>
    <t>DC_ID == 18617</t>
  </si>
  <si>
    <t>DC_ID == 55254</t>
  </si>
  <si>
    <t>DC_ID == 20953</t>
  </si>
  <si>
    <t>DC_ID == 32540</t>
  </si>
  <si>
    <t>DC_ID == 23510</t>
  </si>
  <si>
    <t>DC_ID == 22626</t>
  </si>
  <si>
    <t>DC_ID == 11182</t>
  </si>
  <si>
    <t>DC_ID == 55075</t>
  </si>
  <si>
    <t>DC_ID == 345</t>
  </si>
  <si>
    <t>DC_ID == 43855</t>
  </si>
  <si>
    <t>DC_ID == 10080</t>
  </si>
  <si>
    <t>DC_ID == 57070</t>
  </si>
  <si>
    <t>q10</t>
  </si>
  <si>
    <t xml:space="preserve">q5n1 q5n2 q5n3 q5n4 q5n5 </t>
  </si>
  <si>
    <t>q5n{1 2 3 4 5}</t>
  </si>
  <si>
    <t>COMPUTE q5n1 = -2.</t>
  </si>
  <si>
    <t>COMPUTE q5n2 = -2.</t>
  </si>
  <si>
    <t>COMPUTE q5n3 = -2.</t>
  </si>
  <si>
    <t>COMPUTE q5n4 = -2.</t>
  </si>
  <si>
    <t>COMPUTE q5n5 = -2.</t>
  </si>
  <si>
    <t>q5n1 = 3</t>
  </si>
  <si>
    <t>q5n1 = 2</t>
  </si>
  <si>
    <t>q5n1 = 97</t>
  </si>
  <si>
    <t>q5n1 = 1</t>
  </si>
  <si>
    <t>q5n1 = 5</t>
  </si>
  <si>
    <t>q5n1 = 6</t>
  </si>
  <si>
    <t>q5n1 = 4</t>
  </si>
  <si>
    <t>q5n1 = 7</t>
  </si>
  <si>
    <t>q5n1 = 99</t>
  </si>
  <si>
    <t>q5n2 = 4</t>
  </si>
  <si>
    <t>q5n2 = 2</t>
  </si>
  <si>
    <t>q5n2 = 5</t>
  </si>
  <si>
    <t>q5n2 = 6</t>
  </si>
  <si>
    <t>q5n2 = 1</t>
  </si>
  <si>
    <t>q5n2 = 3</t>
  </si>
  <si>
    <t>q5n2 = 7</t>
  </si>
  <si>
    <t>q5n2 = 97</t>
  </si>
  <si>
    <t>q5n3 = 6</t>
  </si>
  <si>
    <t>q5n3 = 5</t>
  </si>
  <si>
    <t>q5n3 = 3</t>
  </si>
  <si>
    <t>q5n3 = 2</t>
  </si>
  <si>
    <t>q5n3 = 1</t>
  </si>
  <si>
    <t>q5n3 = 4</t>
  </si>
  <si>
    <t>q5n3 = 97</t>
  </si>
  <si>
    <t>q5n1==-2</t>
  </si>
  <si>
    <t>q5n1=99</t>
  </si>
  <si>
    <t>q5n1 q5n2 q5n3 q5n4 q5n5</t>
  </si>
  <si>
    <t>kq10</t>
  </si>
  <si>
    <t>q91</t>
  </si>
  <si>
    <t>q92</t>
  </si>
  <si>
    <t>q7a1</t>
  </si>
  <si>
    <t>q7a2</t>
  </si>
  <si>
    <t>q7b1</t>
  </si>
  <si>
    <t>q7b2</t>
  </si>
  <si>
    <t>q7c1</t>
  </si>
  <si>
    <t>q7c2</t>
  </si>
  <si>
    <t>q7d1</t>
  </si>
  <si>
    <t>q7d2</t>
  </si>
  <si>
    <t>q7e1</t>
  </si>
  <si>
    <t>q7e2</t>
  </si>
  <si>
    <t>q7f1</t>
  </si>
  <si>
    <t>q7f2</t>
  </si>
  <si>
    <t>q7g1</t>
  </si>
  <si>
    <t>q7g2</t>
  </si>
  <si>
    <t>q7h1</t>
  </si>
  <si>
    <t>q7h2</t>
  </si>
  <si>
    <t>q6h</t>
  </si>
  <si>
    <t>datum</t>
  </si>
  <si>
    <t>n</t>
  </si>
  <si>
    <t>DC_ID &lt;= 31190</t>
  </si>
  <si>
    <t>DC_ID &gt;= 44737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</si>
</sst>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1"/>
      <color theme="1"/>
      <name val="Calibri"/>
      <family val="2"/>
      <scheme val="minor"/>
    </font>
    <font>
      <sz val="8"/>
      <name val="Arial"/>
      <family val="2"/>
    </font>
    <font>
      <b/>
      <sz val="10"/>
      <name val="Arial"/>
      <family val="2"/>
    </font>
    <font>
      <sz val="10"/>
      <name val="Arial"/>
      <family val="2"/>
    </font>
    <font>
      <sz val="9"/>
      <name val="Arial"/>
      <family val="2"/>
    </font>
    <font>
      <b/>
      <sz val="9"/>
      <name val="Arial"/>
      <family val="2"/>
    </font>
    <font>
      <sz val="11"/>
      <color theme="1"/>
      <name val="Calibri"/>
      <family val="2"/>
      <scheme val="minor"/>
    </font>
    <font>
      <sz val="10"/>
      <color rgb="FFC00000"/>
      <name val="Arial"/>
      <family val="2"/>
    </font>
    <font>
      <sz val="10"/>
      <color rgb="FF000000"/>
      <name val="Arial"/>
      <family val="2"/>
    </font>
    <font>
      <u/>
      <sz val="10"/>
      <color theme="10"/>
      <name val="Arial"/>
      <family val="2"/>
    </font>
    <font>
      <u/>
      <sz val="10"/>
      <color theme="11"/>
      <name val="Arial"/>
      <family val="2"/>
    </font>
    <font>
      <sz val="9"/>
      <color indexed="81"/>
      <name val="Segoe UI"/>
      <family val="2"/>
    </font>
    <font>
      <b/>
      <sz val="9"/>
      <color indexed="81"/>
      <name val="Segoe UI"/>
      <family val="2"/>
    </font>
  </fonts>
  <fills count="17">
    <fill>
      <patternFill patternType="none"/>
    </fill>
    <fill>
      <patternFill patternType="gray125"/>
    </fill>
    <fill>
      <patternFill patternType="solid">
        <fgColor indexed="44"/>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bgColor indexed="64"/>
      </patternFill>
    </fill>
    <fill>
      <patternFill patternType="solid">
        <fgColor theme="2" tint="-9.9978637043366805E-2"/>
        <bgColor indexed="64"/>
      </patternFill>
    </fill>
    <fill>
      <patternFill patternType="solid">
        <fgColor theme="0"/>
        <bgColor indexed="64"/>
      </patternFill>
    </fill>
    <fill>
      <patternFill patternType="solid">
        <fgColor theme="3" tint="0.79998168889431442"/>
        <bgColor indexed="64"/>
      </patternFill>
    </fill>
    <fill>
      <patternFill patternType="solid">
        <fgColor indexed="9"/>
        <bgColor indexed="64"/>
      </patternFill>
    </fill>
    <fill>
      <patternFill patternType="solid">
        <fgColor theme="4" tint="0.39997558519241921"/>
        <bgColor indexed="64"/>
      </patternFill>
    </fill>
    <fill>
      <patternFill patternType="solid">
        <fgColor theme="9" tint="0.59999389629810485"/>
        <bgColor indexed="64"/>
      </patternFill>
    </fill>
  </fills>
  <borders count="2">
    <border>
      <left/>
      <right/>
      <top/>
      <bottom/>
      <diagonal/>
    </border>
    <border>
      <left style="medium">
        <color indexed="64"/>
      </left>
      <right/>
      <top style="medium">
        <color indexed="64"/>
      </top>
      <bottom/>
      <diagonal/>
    </border>
  </borders>
  <cellStyleXfs count="15">
    <xf numFmtId="0" fontId="0" fillId="0" borderId="0"/>
    <xf numFmtId="0" fontId="7"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7" fillId="0" borderId="0"/>
    <xf numFmtId="4" fontId="5" fillId="2" borderId="1">
      <alignment horizontal="left" wrapText="1"/>
    </xf>
    <xf numFmtId="0" fontId="4" fillId="0" borderId="0"/>
    <xf numFmtId="0" fontId="4" fillId="0" borderId="0"/>
    <xf numFmtId="0" fontId="4" fillId="0" borderId="0"/>
    <xf numFmtId="0" fontId="10" fillId="0" borderId="0" applyNumberFormat="0" applyFont="0" applyFill="0" applyBorder="0" applyAlignment="0" applyProtection="0"/>
    <xf numFmtId="0" fontId="11" fillId="0" borderId="0" applyNumberFormat="0" applyFont="0" applyFill="0" applyBorder="0" applyAlignment="0" applyProtection="0"/>
    <xf numFmtId="0" fontId="1" fillId="0" borderId="0"/>
  </cellStyleXfs>
  <cellXfs count="35">
    <xf numFmtId="0" fontId="0" fillId="0" borderId="0" xfId="0"/>
    <xf numFmtId="0" fontId="0" fillId="3" borderId="0" xfId="0" applyFill="1"/>
    <xf numFmtId="0" fontId="4" fillId="3" borderId="0" xfId="0" applyFont="1" applyFill="1"/>
    <xf numFmtId="0" fontId="5" fillId="0" borderId="0" xfId="0" applyFont="1"/>
    <xf numFmtId="0" fontId="6" fillId="0" borderId="0" xfId="0" applyFont="1"/>
    <xf numFmtId="0" fontId="0" fillId="7" borderId="0" xfId="0" applyFill="1"/>
    <xf numFmtId="0" fontId="0" fillId="0" borderId="0" xfId="0" applyFill="1"/>
    <xf numFmtId="0" fontId="5" fillId="0" borderId="0" xfId="0" applyFont="1" applyFill="1"/>
    <xf numFmtId="0" fontId="5" fillId="6" borderId="0" xfId="0" applyFont="1" applyFill="1"/>
    <xf numFmtId="0" fontId="0" fillId="9" borderId="0" xfId="0" applyFill="1"/>
    <xf numFmtId="0" fontId="8" fillId="10" borderId="0" xfId="0" applyFont="1" applyFill="1"/>
    <xf numFmtId="0" fontId="4" fillId="9" borderId="0" xfId="0" applyFont="1" applyFill="1"/>
    <xf numFmtId="0" fontId="5" fillId="11" borderId="0" xfId="0" applyFont="1" applyFill="1"/>
    <xf numFmtId="0" fontId="0" fillId="5" borderId="0" xfId="0" applyFill="1"/>
    <xf numFmtId="0" fontId="4" fillId="12" borderId="0" xfId="0" applyFont="1" applyFill="1"/>
    <xf numFmtId="0" fontId="4" fillId="8" borderId="0" xfId="9" applyFill="1"/>
    <xf numFmtId="0" fontId="4" fillId="3" borderId="0" xfId="9" applyFill="1"/>
    <xf numFmtId="0" fontId="4" fillId="3" borderId="0" xfId="9" quotePrefix="1" applyFill="1"/>
    <xf numFmtId="0" fontId="4" fillId="14" borderId="0" xfId="9" applyFill="1"/>
    <xf numFmtId="0" fontId="3" fillId="15" borderId="0" xfId="9" applyFont="1" applyFill="1" applyAlignment="1">
      <alignment wrapText="1"/>
    </xf>
    <xf numFmtId="0" fontId="4" fillId="14" borderId="0" xfId="9" applyFont="1" applyFill="1"/>
    <xf numFmtId="0" fontId="4" fillId="5" borderId="0" xfId="0" applyFont="1" applyFill="1"/>
    <xf numFmtId="0" fontId="0" fillId="8" borderId="0" xfId="0" applyFill="1" applyAlignment="1">
      <alignment vertical="top" wrapText="1"/>
    </xf>
    <xf numFmtId="0" fontId="4" fillId="8" borderId="0" xfId="9" applyFont="1" applyFill="1"/>
    <xf numFmtId="0" fontId="5" fillId="13" borderId="0" xfId="0" applyFont="1" applyFill="1"/>
    <xf numFmtId="0" fontId="5" fillId="3" borderId="0" xfId="0" applyFont="1" applyFill="1"/>
    <xf numFmtId="0" fontId="4" fillId="9" borderId="0" xfId="0" quotePrefix="1" applyFont="1" applyFill="1"/>
    <xf numFmtId="0" fontId="6" fillId="16" borderId="0" xfId="0" applyFont="1" applyFill="1"/>
    <xf numFmtId="0" fontId="5" fillId="16" borderId="0" xfId="0" applyFont="1" applyFill="1"/>
    <xf numFmtId="0" fontId="6" fillId="16" borderId="0" xfId="0" applyFont="1" applyFill="1" applyAlignment="1">
      <alignment horizontal="left" indent="2"/>
    </xf>
    <xf numFmtId="0" fontId="4" fillId="3" borderId="0" xfId="0" applyFont="1" applyFill="1" applyAlignment="1">
      <alignment horizontal="left" vertical="center" indent="2"/>
    </xf>
    <xf numFmtId="0" fontId="4" fillId="0" borderId="0" xfId="0" applyFont="1"/>
    <xf numFmtId="0" fontId="4" fillId="14" borderId="0" xfId="9" quotePrefix="1" applyFill="1"/>
    <xf numFmtId="0" fontId="4" fillId="4" borderId="0" xfId="9" applyFill="1"/>
    <xf numFmtId="0" fontId="6" fillId="0" borderId="0" xfId="0" applyFont="1" applyAlignment="1">
      <alignment horizontal="center" wrapText="1"/>
    </xf>
  </cellXfs>
  <cellStyles count="15">
    <cellStyle name="Besuchter Hyperlink" xfId="13" builtinId="9" customBuiltin="1"/>
    <cellStyle name="Link" xfId="12" builtinId="8" customBuiltin="1"/>
    <cellStyle name="Standard" xfId="0" builtinId="0"/>
    <cellStyle name="Standard 2" xfId="1" xr:uid="{00000000-0005-0000-0000-000003000000}"/>
    <cellStyle name="Standard 2 2" xfId="2" xr:uid="{00000000-0005-0000-0000-000004000000}"/>
    <cellStyle name="Standard 2 3" xfId="9" xr:uid="{00000000-0005-0000-0000-000005000000}"/>
    <cellStyle name="Standard 2_Log40" xfId="14" xr:uid="{00000000-0005-0000-0000-000006000000}"/>
    <cellStyle name="Standard 3" xfId="3" xr:uid="{00000000-0005-0000-0000-000007000000}"/>
    <cellStyle name="Standard 4" xfId="4" xr:uid="{00000000-0005-0000-0000-000008000000}"/>
    <cellStyle name="Standard 4 2" xfId="5" xr:uid="{00000000-0005-0000-0000-000009000000}"/>
    <cellStyle name="Standard 5" xfId="6" xr:uid="{00000000-0005-0000-0000-00000A000000}"/>
    <cellStyle name="Standard 5 2" xfId="11" xr:uid="{00000000-0005-0000-0000-00000B000000}"/>
    <cellStyle name="Standard 6" xfId="7" xr:uid="{00000000-0005-0000-0000-00000C000000}"/>
    <cellStyle name="Standard 7" xfId="10" xr:uid="{00000000-0005-0000-0000-00000D000000}"/>
    <cellStyle name="Stil 1" xfId="8" xr:uid="{00000000-0005-0000-0000-00000E000000}"/>
  </cellStyles>
  <dxfs count="6">
    <dxf>
      <font>
        <color rgb="FFFF0000"/>
      </font>
    </dxf>
    <dxf>
      <font>
        <color rgb="FF0070C0"/>
      </font>
    </dxf>
    <dxf>
      <font>
        <color rgb="FFFF0000"/>
      </font>
    </dxf>
    <dxf>
      <font>
        <color rgb="FF0070C0"/>
      </font>
    </dxf>
    <dxf>
      <font>
        <color rgb="FFFF0000"/>
      </font>
    </dxf>
    <dxf>
      <font>
        <color rgb="FF0070C0"/>
      </font>
    </dxf>
  </dxfs>
  <tableStyles count="0" defaultTableStyle="TableStyleMedium9" defaultPivotStyle="PivotStyleLight16"/>
  <colors>
    <mruColors>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Drop" dropLines="40" dropStyle="combo" dx="16" fmlaLink="#REF!" fmlaRange="[1]!V_TemplateFill" noThreeD="1" sel="0" val="0"/>
</file>

<file path=xl/ctrlProps/ctrlProp6.xml><?xml version="1.0" encoding="utf-8"?>
<formControlPr xmlns="http://schemas.microsoft.com/office/spreadsheetml/2009/9/main" objectType="Drop" dropLines="40" dropStyle="combo" dx="16" fmlaLink="#REF!" fmlaRange="[1]!V_TemplateFill" noThreeD="1" sel="0"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66675</xdr:rowOff>
    </xdr:from>
    <xdr:ext cx="203246" cy="203246"/>
    <xdr:pic macro="[1]!SF20_KlickenSieauf">
      <xdr:nvPicPr>
        <xdr:cNvPr id="2" name="20Datenoperationen" title="Starts 10_MergeFiles">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66675"/>
          <a:ext cx="203246" cy="20324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66675</xdr:rowOff>
    </xdr:from>
    <xdr:ext cx="203246" cy="203246"/>
    <xdr:pic macro="[1]!SF20_KlickenSieauf">
      <xdr:nvPicPr>
        <xdr:cNvPr id="2" name="20Datenoperationen" title="Starts 10_MergeFiles">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66675"/>
          <a:ext cx="203246" cy="20324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10</xdr:col>
          <xdr:colOff>647700</xdr:colOff>
          <xdr:row>3</xdr:row>
          <xdr:rowOff>95250</xdr:rowOff>
        </xdr:from>
        <xdr:to>
          <xdr:col>12</xdr:col>
          <xdr:colOff>428625</xdr:colOff>
          <xdr:row>4</xdr:row>
          <xdr:rowOff>142875</xdr:rowOff>
        </xdr:to>
        <xdr:sp macro="" textlink="">
          <xdr:nvSpPr>
            <xdr:cNvPr id="16386" name="VerbErstellen" hidden="1">
              <a:extLst>
                <a:ext uri="{63B3BB69-23CF-44E3-9099-C40C66FF867C}">
                  <a14:compatExt spid="_x0000_s16386"/>
                </a:ext>
                <a:ext uri="{FF2B5EF4-FFF2-40B4-BE49-F238E27FC236}">
                  <a16:creationId xmlns:a16="http://schemas.microsoft.com/office/drawing/2014/main" id="{00000000-0008-0000-0400-000002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de-DE" sz="1000" b="0" i="0" u="none" strike="noStrike" baseline="0">
                  <a:solidFill>
                    <a:srgbClr val="000000"/>
                  </a:solidFill>
                  <a:latin typeface="Arial"/>
                  <a:cs typeface="Arial"/>
                </a:rPr>
                <a:t>Create verbatim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10</xdr:col>
          <xdr:colOff>647700</xdr:colOff>
          <xdr:row>5</xdr:row>
          <xdr:rowOff>76200</xdr:rowOff>
        </xdr:from>
        <xdr:to>
          <xdr:col>12</xdr:col>
          <xdr:colOff>428625</xdr:colOff>
          <xdr:row>6</xdr:row>
          <xdr:rowOff>123825</xdr:rowOff>
        </xdr:to>
        <xdr:sp macro="" textlink="">
          <xdr:nvSpPr>
            <xdr:cNvPr id="16389" name="VerbErstellen" hidden="1">
              <a:extLst>
                <a:ext uri="{63B3BB69-23CF-44E3-9099-C40C66FF867C}">
                  <a14:compatExt spid="_x0000_s16389"/>
                </a:ext>
                <a:ext uri="{FF2B5EF4-FFF2-40B4-BE49-F238E27FC236}">
                  <a16:creationId xmlns:a16="http://schemas.microsoft.com/office/drawing/2014/main" id="{00000000-0008-0000-0400-000005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de-DE" sz="1000" b="0" i="0" u="none" strike="noStrike" baseline="0">
                  <a:solidFill>
                    <a:srgbClr val="000000"/>
                  </a:solidFill>
                  <a:latin typeface="Arial"/>
                  <a:cs typeface="Arial"/>
                </a:rPr>
                <a:t>Add observation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10</xdr:col>
          <xdr:colOff>657225</xdr:colOff>
          <xdr:row>8</xdr:row>
          <xdr:rowOff>76200</xdr:rowOff>
        </xdr:from>
        <xdr:to>
          <xdr:col>12</xdr:col>
          <xdr:colOff>438150</xdr:colOff>
          <xdr:row>9</xdr:row>
          <xdr:rowOff>123825</xdr:rowOff>
        </xdr:to>
        <xdr:sp macro="" textlink="">
          <xdr:nvSpPr>
            <xdr:cNvPr id="16390" name="Button 6" hidden="1">
              <a:extLst>
                <a:ext uri="{63B3BB69-23CF-44E3-9099-C40C66FF867C}">
                  <a14:compatExt spid="_x0000_s16390"/>
                </a:ext>
                <a:ext uri="{FF2B5EF4-FFF2-40B4-BE49-F238E27FC236}">
                  <a16:creationId xmlns:a16="http://schemas.microsoft.com/office/drawing/2014/main" id="{00000000-0008-0000-0400-000006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de-DE" sz="1000" b="0" i="0" u="none" strike="noStrike" baseline="0">
                  <a:solidFill>
                    <a:srgbClr val="000000"/>
                  </a:solidFill>
                  <a:latin typeface="Arial"/>
                  <a:cs typeface="Arial"/>
                </a:rPr>
                <a:t>Create SPSS code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10</xdr:col>
          <xdr:colOff>657225</xdr:colOff>
          <xdr:row>10</xdr:row>
          <xdr:rowOff>57150</xdr:rowOff>
        </xdr:from>
        <xdr:to>
          <xdr:col>12</xdr:col>
          <xdr:colOff>438150</xdr:colOff>
          <xdr:row>11</xdr:row>
          <xdr:rowOff>104775</xdr:rowOff>
        </xdr:to>
        <xdr:sp macro="" textlink="">
          <xdr:nvSpPr>
            <xdr:cNvPr id="16395" name="Button 11" hidden="1">
              <a:extLst>
                <a:ext uri="{63B3BB69-23CF-44E3-9099-C40C66FF867C}">
                  <a14:compatExt spid="_x0000_s16395"/>
                </a:ext>
                <a:ext uri="{FF2B5EF4-FFF2-40B4-BE49-F238E27FC236}">
                  <a16:creationId xmlns:a16="http://schemas.microsoft.com/office/drawing/2014/main" id="{00000000-0008-0000-0400-00000B4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de-DE" sz="1000" b="0" i="0" u="none" strike="noStrike" baseline="0">
                  <a:solidFill>
                    <a:srgbClr val="000000"/>
                  </a:solidFill>
                  <a:latin typeface="Arial"/>
                  <a:cs typeface="Arial"/>
                </a:rPr>
                <a:t>Draft SPSS Code</a:t>
              </a:r>
            </a:p>
          </xdr:txBody>
        </xdr:sp>
        <xdr:clientData fPrintsWithSheet="0"/>
      </xdr:twoCellAnchor>
    </mc:Choice>
    <mc:Fallback/>
  </mc:AlternateContent>
  <xdr:twoCellAnchor editAs="oneCell">
    <xdr:from>
      <xdr:col>3</xdr:col>
      <xdr:colOff>571500</xdr:colOff>
      <xdr:row>8</xdr:row>
      <xdr:rowOff>142875</xdr:rowOff>
    </xdr:from>
    <xdr:to>
      <xdr:col>4</xdr:col>
      <xdr:colOff>12746</xdr:colOff>
      <xdr:row>10</xdr:row>
      <xdr:rowOff>22271</xdr:rowOff>
    </xdr:to>
    <xdr:pic macro="[1]!GetVerbatimFile">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4600" y="952500"/>
          <a:ext cx="203246" cy="2032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38100</xdr:colOff>
      <xdr:row>0</xdr:row>
      <xdr:rowOff>47625</xdr:rowOff>
    </xdr:from>
    <xdr:ext cx="203246" cy="203246"/>
    <xdr:pic macro="[1]!SF20_KlickenSieauf">
      <xdr:nvPicPr>
        <xdr:cNvPr id="2" name="20Datenoperationen" title="Starts 10_MergeFiles">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47625"/>
          <a:ext cx="203246" cy="203246"/>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200025</xdr:colOff>
          <xdr:row>0</xdr:row>
          <xdr:rowOff>47625</xdr:rowOff>
        </xdr:from>
        <xdr:to>
          <xdr:col>3</xdr:col>
          <xdr:colOff>200025</xdr:colOff>
          <xdr:row>0</xdr:row>
          <xdr:rowOff>228600</xdr:rowOff>
        </xdr:to>
        <xdr:sp macro="" textlink="">
          <xdr:nvSpPr>
            <xdr:cNvPr id="40961" name="Drop Down 1" hidden="1">
              <a:extLst>
                <a:ext uri="{63B3BB69-23CF-44E3-9099-C40C66FF867C}">
                  <a14:compatExt spid="_x0000_s40961"/>
                </a:ext>
                <a:ext uri="{FF2B5EF4-FFF2-40B4-BE49-F238E27FC236}">
                  <a16:creationId xmlns:a16="http://schemas.microsoft.com/office/drawing/2014/main" id="{00000000-0008-0000-0600-000001A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0</xdr:col>
      <xdr:colOff>38100</xdr:colOff>
      <xdr:row>0</xdr:row>
      <xdr:rowOff>47625</xdr:rowOff>
    </xdr:from>
    <xdr:ext cx="203246" cy="203246"/>
    <xdr:pic macro="[1]!SF20_KlickenSieauf">
      <xdr:nvPicPr>
        <xdr:cNvPr id="2" name="20Datenoperationen" title="Starts 10_MergeFiles">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47625"/>
          <a:ext cx="203246" cy="203246"/>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361950</xdr:colOff>
          <xdr:row>0</xdr:row>
          <xdr:rowOff>47625</xdr:rowOff>
        </xdr:from>
        <xdr:to>
          <xdr:col>1</xdr:col>
          <xdr:colOff>1885950</xdr:colOff>
          <xdr:row>0</xdr:row>
          <xdr:rowOff>228600</xdr:rowOff>
        </xdr:to>
        <xdr:sp macro="" textlink="">
          <xdr:nvSpPr>
            <xdr:cNvPr id="41985" name="Drop Down 1" hidden="1">
              <a:extLst>
                <a:ext uri="{63B3BB69-23CF-44E3-9099-C40C66FF867C}">
                  <a14:compatExt spid="_x0000_s41985"/>
                </a:ext>
                <a:ext uri="{FF2B5EF4-FFF2-40B4-BE49-F238E27FC236}">
                  <a16:creationId xmlns:a16="http://schemas.microsoft.com/office/drawing/2014/main" id="{00000000-0008-0000-0700-000001A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ools/TableBook/202201/Funktionen/Funktione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nweis"/>
      <sheetName val="R"/>
      <sheetName val="Vorlage Verbatims"/>
      <sheetName val="Vorgaben Questions"/>
      <sheetName val="Projektleiter"/>
      <sheetName val="Lexikon"/>
      <sheetName val="Free Beispiele"/>
      <sheetName val="Limesurvey"/>
    </sheetNames>
    <definedNames>
      <definedName name="GetVerbatimFile"/>
      <definedName name="SF20_KlickenSieauf"/>
      <definedName name="TemplateFill"/>
      <definedName name="V_Lexikon" refersTo="='Lexikon'!$A$1:$H$293"/>
      <definedName name="V_TemplateFill" refersTo="='Vorgaben Questions'!$A$4:$A$32"/>
      <definedName name="Verbcode"/>
      <definedName name="VerbcodeDraft"/>
      <definedName name="VerbEinlesen"/>
      <definedName name="VerbErstellen"/>
    </definedNames>
    <sheetDataSet>
      <sheetData sheetId="0">
        <row r="2">
          <cell r="A2" t="str">
            <v>Version</v>
          </cell>
          <cell r="B2">
            <v>20220118</v>
          </cell>
        </row>
        <row r="4">
          <cell r="A4" t="str">
            <v>© 2008-2022 Wolf Wilke</v>
          </cell>
        </row>
        <row r="5">
          <cell r="A5" t="str">
            <v>All rights reserved. May be used free of charge by members of the DATA-Connection.</v>
          </cell>
        </row>
        <row r="6">
          <cell r="A6" t="str">
            <v>Further use and redistribution without prior written permission by the copyright holder prohibited.</v>
          </cell>
        </row>
        <row r="8">
          <cell r="A8" t="str">
            <v>Please contact Wolf Wilke per mail to wilke@data-connection.de for any question.</v>
          </cell>
        </row>
      </sheetData>
      <sheetData sheetId="1">
        <row r="1">
          <cell r="A1" t="str">
            <v>R-Command</v>
          </cell>
        </row>
        <row r="2">
          <cell r="A2" t="str">
            <v>"C:\Program Files\R\R-4.1.2\bin\i386\R.exe" --ess --no-save</v>
          </cell>
        </row>
        <row r="4">
          <cell r="A4" t="str">
            <v>Rinit</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dimension ref="A1:Y54"/>
  <sheetViews>
    <sheetView tabSelected="1" zoomScaleNormal="100" workbookViewId="0">
      <pane xSplit="3" ySplit="2" topLeftCell="D3" activePane="bottomRight" state="frozen"/>
      <selection pane="topRight" activeCell="D1" sqref="D1"/>
      <selection pane="bottomLeft" activeCell="A3" sqref="A3"/>
      <selection pane="bottomRight" activeCell="L54" sqref="L54"/>
    </sheetView>
  </sheetViews>
  <sheetFormatPr baseColWidth="10" defaultColWidth="11.42578125" defaultRowHeight="12" x14ac:dyDescent="0.2"/>
  <cols>
    <col min="1" max="1" width="30.140625" style="3" customWidth="1"/>
    <col min="2" max="2" width="8.28515625" style="3" bestFit="1" customWidth="1"/>
    <col min="3" max="3" width="31.140625" style="3" customWidth="1"/>
    <col min="4" max="6" width="3.7109375" style="3" customWidth="1"/>
    <col min="7" max="7" width="8.42578125" style="3" customWidth="1"/>
    <col min="8" max="8" width="3.7109375" style="3" customWidth="1"/>
    <col min="9" max="9" width="13.85546875" style="3" customWidth="1"/>
    <col min="10" max="10" width="7.28515625" style="3" customWidth="1"/>
    <col min="11" max="11" width="9.7109375" style="3" customWidth="1"/>
    <col min="12" max="12" width="12.28515625" style="3" bestFit="1" customWidth="1"/>
    <col min="13" max="13" width="20.7109375" style="3" customWidth="1"/>
    <col min="14" max="17" width="11.42578125" style="3"/>
    <col min="18" max="18" width="7.5703125" style="3" customWidth="1"/>
    <col min="19" max="16384" width="11.42578125" style="3"/>
  </cols>
  <sheetData>
    <row r="1" spans="1:25" x14ac:dyDescent="0.2">
      <c r="A1" s="29" t="s">
        <v>25</v>
      </c>
      <c r="B1" s="28"/>
      <c r="C1" s="28"/>
      <c r="D1" s="28"/>
      <c r="E1" s="28"/>
      <c r="F1" s="28"/>
      <c r="G1" s="28"/>
      <c r="H1" s="28"/>
      <c r="I1" s="28"/>
      <c r="K1" s="4" t="s">
        <v>34</v>
      </c>
      <c r="L1" s="4" t="s">
        <v>35</v>
      </c>
      <c r="M1" s="4" t="s">
        <v>36</v>
      </c>
      <c r="N1" s="4" t="s">
        <v>4</v>
      </c>
      <c r="O1" s="3" t="s">
        <v>5</v>
      </c>
      <c r="P1" s="8">
        <v>-2</v>
      </c>
      <c r="Q1" s="3" t="s">
        <v>6</v>
      </c>
      <c r="R1" s="8" t="s">
        <v>24</v>
      </c>
      <c r="S1" s="4" t="s">
        <v>8</v>
      </c>
      <c r="T1" s="8" t="s">
        <v>23</v>
      </c>
    </row>
    <row r="2" spans="1:25" s="4" customFormat="1" x14ac:dyDescent="0.2">
      <c r="A2" s="29" t="s">
        <v>0</v>
      </c>
      <c r="B2" s="27" t="s">
        <v>2</v>
      </c>
      <c r="C2" s="27" t="s">
        <v>1</v>
      </c>
      <c r="D2" s="27" t="s">
        <v>26</v>
      </c>
      <c r="E2" s="27" t="s">
        <v>27</v>
      </c>
      <c r="F2" s="27" t="s">
        <v>28</v>
      </c>
      <c r="G2" s="27" t="s">
        <v>29</v>
      </c>
      <c r="H2" s="27" t="s">
        <v>30</v>
      </c>
      <c r="I2" s="27" t="s">
        <v>31</v>
      </c>
      <c r="J2" s="4" t="s">
        <v>51</v>
      </c>
      <c r="K2" s="4" t="s">
        <v>41</v>
      </c>
      <c r="Y2" s="4">
        <v>3</v>
      </c>
    </row>
    <row r="3" spans="1:25" ht="12.75" x14ac:dyDescent="0.2">
      <c r="A3" s="11" t="s">
        <v>136</v>
      </c>
      <c r="B3" s="9">
        <v>1</v>
      </c>
      <c r="C3" s="9" t="s">
        <v>56</v>
      </c>
      <c r="D3" s="9" t="s">
        <v>57</v>
      </c>
      <c r="E3" s="9" t="s">
        <v>58</v>
      </c>
      <c r="F3" s="9">
        <v>12</v>
      </c>
      <c r="G3" s="9" t="s">
        <v>59</v>
      </c>
      <c r="H3" s="9" t="s">
        <v>60</v>
      </c>
      <c r="I3" s="9" t="s">
        <v>60</v>
      </c>
      <c r="J3" s="10"/>
      <c r="K3" s="2" t="s">
        <v>347</v>
      </c>
      <c r="L3" s="1"/>
      <c r="M3" s="1"/>
      <c r="N3" s="12"/>
      <c r="O3" s="12"/>
      <c r="P3" s="12"/>
      <c r="Q3" s="12"/>
      <c r="R3" s="12"/>
      <c r="S3" s="12" t="str">
        <f t="shared" ref="S3:S54" si="0">S2&amp;IF($L3&lt;&gt;"",$L3,$A3)&amp;" "</f>
        <v xml:space="preserve">id </v>
      </c>
      <c r="T3" s="24" t="b">
        <f>ISERROR(FIND(" "&amp;UPPER(IF($L3&lt;&gt;"",$L3,$A3))&amp;" ",#REF!))</f>
        <v>1</v>
      </c>
      <c r="U3" s="24"/>
      <c r="V3" s="24" t="str">
        <f t="shared" ref="V3:V53" si="1">IF(W3&lt;&gt;W4,W3,"")</f>
        <v>id</v>
      </c>
      <c r="W3" s="24" t="str">
        <f t="shared" ref="W3:W54" si="2">LEFT(IF($L3&lt;&gt;"",$L3,$A3),Y3)</f>
        <v>id</v>
      </c>
      <c r="X3" s="24" t="str">
        <f t="shared" ref="X3:X54" si="3">IF(W2=W3,X2,"")&amp;IF(AND(OR(LEFT(H3,1)="F",K3="a",K3="n"),RIGHT(A3,2)&lt;&gt;"00",RIGHT(A3,2)&lt;&gt;"98",RIGHT(A3,2)&lt;&gt;"99"),IF($L3&lt;&gt;"",$L3,$A3)&amp;" ","")</f>
        <v xml:space="preserve">id </v>
      </c>
      <c r="Y3" s="24">
        <f t="shared" ref="Y3:Y54" si="4">Y2</f>
        <v>3</v>
      </c>
    </row>
    <row r="4" spans="1:25" ht="12.75" x14ac:dyDescent="0.2">
      <c r="A4" s="11" t="s">
        <v>137</v>
      </c>
      <c r="B4" s="9">
        <v>2</v>
      </c>
      <c r="C4" s="9" t="s">
        <v>56</v>
      </c>
      <c r="D4" s="9" t="s">
        <v>57</v>
      </c>
      <c r="E4" s="9" t="s">
        <v>58</v>
      </c>
      <c r="F4" s="9">
        <v>7</v>
      </c>
      <c r="G4" s="9" t="s">
        <v>62</v>
      </c>
      <c r="H4" s="9" t="s">
        <v>68</v>
      </c>
      <c r="I4" s="9" t="s">
        <v>68</v>
      </c>
      <c r="J4" s="10"/>
      <c r="K4" s="1"/>
      <c r="L4" s="1"/>
      <c r="M4" s="1"/>
      <c r="N4" s="12"/>
      <c r="O4" s="12"/>
      <c r="P4" s="12"/>
      <c r="Q4" s="12"/>
      <c r="R4" s="12"/>
      <c r="S4" s="12" t="str">
        <f t="shared" si="0"/>
        <v xml:space="preserve">id screenout </v>
      </c>
      <c r="T4" s="24" t="b">
        <f>ISERROR(FIND(" "&amp;UPPER(IF($L4&lt;&gt;"",$L4,$A4))&amp;" ",#REF!))</f>
        <v>1</v>
      </c>
      <c r="U4" s="24"/>
      <c r="V4" s="24" t="str">
        <f t="shared" si="1"/>
        <v>scr</v>
      </c>
      <c r="W4" s="24" t="str">
        <f t="shared" si="2"/>
        <v>scr</v>
      </c>
      <c r="X4" s="24" t="str">
        <f t="shared" si="3"/>
        <v xml:space="preserve">screenout </v>
      </c>
      <c r="Y4" s="24">
        <f t="shared" si="4"/>
        <v>3</v>
      </c>
    </row>
    <row r="5" spans="1:25" ht="12.75" x14ac:dyDescent="0.2">
      <c r="A5" s="11" t="s">
        <v>346</v>
      </c>
      <c r="B5" s="9">
        <v>3</v>
      </c>
      <c r="C5" s="9"/>
      <c r="D5" s="9" t="s">
        <v>61</v>
      </c>
      <c r="E5" s="9" t="s">
        <v>58</v>
      </c>
      <c r="F5" s="9">
        <v>13</v>
      </c>
      <c r="G5" s="9" t="s">
        <v>62</v>
      </c>
      <c r="H5" s="9" t="s">
        <v>63</v>
      </c>
      <c r="I5" s="9" t="s">
        <v>63</v>
      </c>
      <c r="J5" s="10"/>
      <c r="K5" s="1"/>
      <c r="L5" s="1"/>
      <c r="M5" s="1"/>
      <c r="N5" s="12"/>
      <c r="O5" s="12"/>
      <c r="P5" s="12"/>
      <c r="Q5" s="12"/>
      <c r="R5" s="12"/>
      <c r="S5" s="12" t="str">
        <f t="shared" si="0"/>
        <v xml:space="preserve">id screenout datum </v>
      </c>
      <c r="T5" s="24" t="b">
        <f>ISERROR(FIND(" "&amp;UPPER(IF($L5&lt;&gt;"",$L5,$A5))&amp;" ",#REF!))</f>
        <v>1</v>
      </c>
      <c r="U5" s="24"/>
      <c r="V5" s="24" t="str">
        <f t="shared" si="1"/>
        <v>dat</v>
      </c>
      <c r="W5" s="24" t="str">
        <f t="shared" si="2"/>
        <v>dat</v>
      </c>
      <c r="X5" s="24" t="str">
        <f t="shared" si="3"/>
        <v/>
      </c>
      <c r="Y5" s="24">
        <f t="shared" si="4"/>
        <v>3</v>
      </c>
    </row>
    <row r="6" spans="1:25" ht="12.75" x14ac:dyDescent="0.2">
      <c r="A6" s="11" t="s">
        <v>64</v>
      </c>
      <c r="B6" s="9">
        <v>14</v>
      </c>
      <c r="C6" s="9"/>
      <c r="D6" s="9" t="s">
        <v>57</v>
      </c>
      <c r="E6" s="9" t="s">
        <v>58</v>
      </c>
      <c r="F6" s="9">
        <v>7</v>
      </c>
      <c r="G6" s="9" t="s">
        <v>62</v>
      </c>
      <c r="H6" s="9" t="s">
        <v>68</v>
      </c>
      <c r="I6" s="9" t="s">
        <v>68</v>
      </c>
      <c r="J6" s="10"/>
      <c r="K6" s="1"/>
      <c r="L6" s="1"/>
      <c r="M6" s="33" t="s">
        <v>66</v>
      </c>
      <c r="N6" s="12"/>
      <c r="O6" s="12"/>
      <c r="P6" s="12"/>
      <c r="Q6" s="12"/>
      <c r="R6" s="12"/>
      <c r="S6" s="12" t="str">
        <f t="shared" si="0"/>
        <v xml:space="preserve">id screenout datum q1 </v>
      </c>
      <c r="T6" s="24" t="b">
        <f>ISERROR(FIND(" "&amp;UPPER(IF($L6&lt;&gt;"",$L6,$A6))&amp;" ",#REF!))</f>
        <v>1</v>
      </c>
      <c r="U6" s="24"/>
      <c r="V6" s="24" t="str">
        <f t="shared" si="1"/>
        <v>q1</v>
      </c>
      <c r="W6" s="24" t="str">
        <f t="shared" si="2"/>
        <v>q1</v>
      </c>
      <c r="X6" s="24" t="str">
        <f t="shared" si="3"/>
        <v xml:space="preserve">q1 </v>
      </c>
      <c r="Y6" s="24">
        <f t="shared" si="4"/>
        <v>3</v>
      </c>
    </row>
    <row r="7" spans="1:25" ht="12.75" x14ac:dyDescent="0.2">
      <c r="A7" s="11" t="s">
        <v>139</v>
      </c>
      <c r="B7" s="9">
        <v>15</v>
      </c>
      <c r="C7" s="9"/>
      <c r="D7" s="9" t="s">
        <v>57</v>
      </c>
      <c r="E7" s="9" t="s">
        <v>58</v>
      </c>
      <c r="F7" s="9">
        <v>7</v>
      </c>
      <c r="G7" s="9" t="s">
        <v>62</v>
      </c>
      <c r="H7" s="9" t="s">
        <v>68</v>
      </c>
      <c r="I7" s="9" t="s">
        <v>68</v>
      </c>
      <c r="J7" s="10"/>
      <c r="K7" s="1"/>
      <c r="L7" s="1"/>
      <c r="M7" s="33" t="s">
        <v>67</v>
      </c>
      <c r="N7" s="12"/>
      <c r="O7" s="12"/>
      <c r="P7" s="12"/>
      <c r="Q7" s="12"/>
      <c r="R7" s="12"/>
      <c r="S7" s="12" t="str">
        <f t="shared" si="0"/>
        <v xml:space="preserve">id screenout datum q1 q2_00 </v>
      </c>
      <c r="T7" s="24" t="b">
        <f>ISERROR(FIND(" "&amp;UPPER(IF($L7&lt;&gt;"",$L7,$A7))&amp;" ",#REF!))</f>
        <v>1</v>
      </c>
      <c r="U7" s="24"/>
      <c r="V7" s="24" t="str">
        <f t="shared" si="1"/>
        <v/>
      </c>
      <c r="W7" s="24" t="str">
        <f t="shared" si="2"/>
        <v>q2_</v>
      </c>
      <c r="X7" s="24" t="str">
        <f t="shared" si="3"/>
        <v/>
      </c>
      <c r="Y7" s="24">
        <f t="shared" si="4"/>
        <v>3</v>
      </c>
    </row>
    <row r="8" spans="1:25" ht="12.75" x14ac:dyDescent="0.2">
      <c r="A8" s="11" t="s">
        <v>140</v>
      </c>
      <c r="B8" s="9">
        <v>16</v>
      </c>
      <c r="C8" s="9"/>
      <c r="D8" s="9" t="s">
        <v>57</v>
      </c>
      <c r="E8" s="9" t="s">
        <v>58</v>
      </c>
      <c r="F8" s="9">
        <v>7</v>
      </c>
      <c r="G8" s="9" t="s">
        <v>62</v>
      </c>
      <c r="H8" s="9" t="s">
        <v>68</v>
      </c>
      <c r="I8" s="9" t="s">
        <v>68</v>
      </c>
      <c r="J8" s="10"/>
      <c r="K8" s="1"/>
      <c r="L8" s="1"/>
      <c r="M8" s="1"/>
      <c r="N8" s="12"/>
      <c r="O8" s="12"/>
      <c r="P8" s="12"/>
      <c r="Q8" s="12"/>
      <c r="R8" s="12"/>
      <c r="S8" s="12" t="str">
        <f t="shared" si="0"/>
        <v xml:space="preserve">id screenout datum q1 q2_00 q2_01 </v>
      </c>
      <c r="T8" s="24" t="b">
        <f>ISERROR(FIND(" "&amp;UPPER(IF($L8&lt;&gt;"",$L8,$A8))&amp;" ",#REF!))</f>
        <v>1</v>
      </c>
      <c r="U8" s="24"/>
      <c r="V8" s="24" t="str">
        <f t="shared" si="1"/>
        <v/>
      </c>
      <c r="W8" s="24" t="str">
        <f t="shared" si="2"/>
        <v>q2_</v>
      </c>
      <c r="X8" s="24" t="str">
        <f t="shared" si="3"/>
        <v xml:space="preserve">q2_01 </v>
      </c>
      <c r="Y8" s="24">
        <f t="shared" si="4"/>
        <v>3</v>
      </c>
    </row>
    <row r="9" spans="1:25" ht="12.75" x14ac:dyDescent="0.2">
      <c r="A9" s="11" t="s">
        <v>141</v>
      </c>
      <c r="B9" s="9">
        <v>17</v>
      </c>
      <c r="C9" s="11"/>
      <c r="D9" s="9" t="s">
        <v>57</v>
      </c>
      <c r="E9" s="9" t="s">
        <v>58</v>
      </c>
      <c r="F9" s="9">
        <v>7</v>
      </c>
      <c r="G9" s="9" t="s">
        <v>62</v>
      </c>
      <c r="H9" s="9" t="s">
        <v>68</v>
      </c>
      <c r="I9" s="9" t="s">
        <v>68</v>
      </c>
      <c r="J9" s="10"/>
      <c r="K9" s="1"/>
      <c r="L9" s="1"/>
      <c r="M9" s="2" t="s">
        <v>69</v>
      </c>
      <c r="N9" s="12"/>
      <c r="O9" s="12"/>
      <c r="P9" s="12"/>
      <c r="Q9" s="12"/>
      <c r="R9" s="12"/>
      <c r="S9" s="12" t="str">
        <f t="shared" si="0"/>
        <v xml:space="preserve">id screenout datum q1 q2_00 q2_01 q2_02 </v>
      </c>
      <c r="T9" s="24" t="b">
        <f>ISERROR(FIND(" "&amp;UPPER(IF($L9&lt;&gt;"",$L9,$A9))&amp;" ",#REF!))</f>
        <v>1</v>
      </c>
      <c r="U9" s="24"/>
      <c r="V9" s="24" t="str">
        <f t="shared" si="1"/>
        <v/>
      </c>
      <c r="W9" s="24" t="str">
        <f t="shared" si="2"/>
        <v>q2_</v>
      </c>
      <c r="X9" s="24" t="str">
        <f t="shared" si="3"/>
        <v xml:space="preserve">q2_01 q2_02 </v>
      </c>
      <c r="Y9" s="24">
        <f t="shared" si="4"/>
        <v>3</v>
      </c>
    </row>
    <row r="10" spans="1:25" ht="12.75" x14ac:dyDescent="0.2">
      <c r="A10" s="11" t="s">
        <v>142</v>
      </c>
      <c r="B10" s="9">
        <v>18</v>
      </c>
      <c r="C10" s="11"/>
      <c r="D10" s="9" t="s">
        <v>57</v>
      </c>
      <c r="E10" s="9" t="s">
        <v>58</v>
      </c>
      <c r="F10" s="9">
        <v>7</v>
      </c>
      <c r="G10" s="9" t="s">
        <v>62</v>
      </c>
      <c r="H10" s="9" t="s">
        <v>68</v>
      </c>
      <c r="I10" s="9" t="s">
        <v>68</v>
      </c>
      <c r="J10" s="10"/>
      <c r="K10" s="1"/>
      <c r="L10" s="1"/>
      <c r="M10" s="2" t="s">
        <v>70</v>
      </c>
      <c r="N10" s="12"/>
      <c r="O10" s="12"/>
      <c r="P10" s="12"/>
      <c r="Q10" s="12"/>
      <c r="R10" s="12"/>
      <c r="S10" s="12" t="str">
        <f t="shared" si="0"/>
        <v xml:space="preserve">id screenout datum q1 q2_00 q2_01 q2_02 q2_03 </v>
      </c>
      <c r="T10" s="24" t="b">
        <f>ISERROR(FIND(" "&amp;UPPER(IF($L10&lt;&gt;"",$L10,$A10))&amp;" ",#REF!))</f>
        <v>1</v>
      </c>
      <c r="U10" s="24"/>
      <c r="V10" s="24" t="str">
        <f t="shared" si="1"/>
        <v/>
      </c>
      <c r="W10" s="24" t="str">
        <f t="shared" si="2"/>
        <v>q2_</v>
      </c>
      <c r="X10" s="24" t="str">
        <f t="shared" si="3"/>
        <v xml:space="preserve">q2_01 q2_02 q2_03 </v>
      </c>
      <c r="Y10" s="24">
        <f t="shared" si="4"/>
        <v>3</v>
      </c>
    </row>
    <row r="11" spans="1:25" ht="12.75" x14ac:dyDescent="0.2">
      <c r="A11" s="11" t="s">
        <v>143</v>
      </c>
      <c r="B11" s="9">
        <v>19</v>
      </c>
      <c r="C11" s="9"/>
      <c r="D11" s="9" t="s">
        <v>57</v>
      </c>
      <c r="E11" s="9" t="s">
        <v>58</v>
      </c>
      <c r="F11" s="9">
        <v>7</v>
      </c>
      <c r="G11" s="9" t="s">
        <v>62</v>
      </c>
      <c r="H11" s="9" t="s">
        <v>68</v>
      </c>
      <c r="I11" s="9" t="s">
        <v>68</v>
      </c>
      <c r="J11" s="10"/>
      <c r="K11" s="1"/>
      <c r="L11" s="1"/>
      <c r="M11" s="2" t="s">
        <v>71</v>
      </c>
      <c r="N11" s="12"/>
      <c r="O11" s="12"/>
      <c r="P11" s="12"/>
      <c r="Q11" s="12"/>
      <c r="R11" s="12"/>
      <c r="S11" s="12" t="str">
        <f t="shared" si="0"/>
        <v xml:space="preserve">id screenout datum q1 q2_00 q2_01 q2_02 q2_03 q2_04 </v>
      </c>
      <c r="T11" s="24" t="b">
        <f>ISERROR(FIND(" "&amp;UPPER(IF($L11&lt;&gt;"",$L11,$A11))&amp;" ",#REF!))</f>
        <v>1</v>
      </c>
      <c r="U11" s="24"/>
      <c r="V11" s="24" t="str">
        <f t="shared" si="1"/>
        <v/>
      </c>
      <c r="W11" s="24" t="str">
        <f t="shared" si="2"/>
        <v>q2_</v>
      </c>
      <c r="X11" s="24" t="str">
        <f t="shared" si="3"/>
        <v xml:space="preserve">q2_01 q2_02 q2_03 q2_04 </v>
      </c>
      <c r="Y11" s="24">
        <f t="shared" si="4"/>
        <v>3</v>
      </c>
    </row>
    <row r="12" spans="1:25" ht="12.75" x14ac:dyDescent="0.2">
      <c r="A12" s="11" t="s">
        <v>144</v>
      </c>
      <c r="B12" s="9">
        <v>20</v>
      </c>
      <c r="C12" s="9"/>
      <c r="D12" s="9" t="s">
        <v>57</v>
      </c>
      <c r="E12" s="9" t="s">
        <v>58</v>
      </c>
      <c r="F12" s="9">
        <v>7</v>
      </c>
      <c r="G12" s="9" t="s">
        <v>62</v>
      </c>
      <c r="H12" s="9" t="s">
        <v>68</v>
      </c>
      <c r="I12" s="9" t="s">
        <v>68</v>
      </c>
      <c r="J12" s="10"/>
      <c r="K12" s="1"/>
      <c r="L12" s="1"/>
      <c r="M12" s="2" t="s">
        <v>72</v>
      </c>
      <c r="N12" s="12"/>
      <c r="O12" s="12"/>
      <c r="P12" s="12"/>
      <c r="Q12" s="12"/>
      <c r="R12" s="12"/>
      <c r="S12" s="12" t="str">
        <f t="shared" si="0"/>
        <v xml:space="preserve">id screenout datum q1 q2_00 q2_01 q2_02 q2_03 q2_04 q2_05 </v>
      </c>
      <c r="T12" s="24" t="b">
        <f>ISERROR(FIND(" "&amp;UPPER(IF($L12&lt;&gt;"",$L12,$A12))&amp;" ",#REF!))</f>
        <v>1</v>
      </c>
      <c r="U12" s="24"/>
      <c r="V12" s="24" t="str">
        <f t="shared" si="1"/>
        <v/>
      </c>
      <c r="W12" s="24" t="str">
        <f t="shared" si="2"/>
        <v>q2_</v>
      </c>
      <c r="X12" s="24" t="str">
        <f t="shared" si="3"/>
        <v xml:space="preserve">q2_01 q2_02 q2_03 q2_04 q2_05 </v>
      </c>
      <c r="Y12" s="24">
        <f t="shared" si="4"/>
        <v>3</v>
      </c>
    </row>
    <row r="13" spans="1:25" ht="12.75" x14ac:dyDescent="0.2">
      <c r="A13" s="11" t="s">
        <v>145</v>
      </c>
      <c r="B13" s="9">
        <v>21</v>
      </c>
      <c r="C13" s="9"/>
      <c r="D13" s="9" t="s">
        <v>57</v>
      </c>
      <c r="E13" s="9" t="s">
        <v>58</v>
      </c>
      <c r="F13" s="9">
        <v>7</v>
      </c>
      <c r="G13" s="9" t="s">
        <v>62</v>
      </c>
      <c r="H13" s="9" t="s">
        <v>68</v>
      </c>
      <c r="I13" s="9" t="s">
        <v>68</v>
      </c>
      <c r="J13" s="10"/>
      <c r="K13" s="1"/>
      <c r="L13" s="1"/>
      <c r="M13" s="2" t="s">
        <v>73</v>
      </c>
      <c r="N13" s="12"/>
      <c r="O13" s="12"/>
      <c r="P13" s="12"/>
      <c r="Q13" s="12"/>
      <c r="R13" s="12"/>
      <c r="S13" s="12" t="str">
        <f t="shared" si="0"/>
        <v xml:space="preserve">id screenout datum q1 q2_00 q2_01 q2_02 q2_03 q2_04 q2_05 q2_06 </v>
      </c>
      <c r="T13" s="24" t="b">
        <f>ISERROR(FIND(" "&amp;UPPER(IF($L13&lt;&gt;"",$L13,$A13))&amp;" ",#REF!))</f>
        <v>1</v>
      </c>
      <c r="U13" s="24"/>
      <c r="V13" s="24" t="str">
        <f t="shared" si="1"/>
        <v/>
      </c>
      <c r="W13" s="24" t="str">
        <f t="shared" si="2"/>
        <v>q2_</v>
      </c>
      <c r="X13" s="24" t="str">
        <f t="shared" si="3"/>
        <v xml:space="preserve">q2_01 q2_02 q2_03 q2_04 q2_05 q2_06 </v>
      </c>
      <c r="Y13" s="24">
        <f t="shared" si="4"/>
        <v>3</v>
      </c>
    </row>
    <row r="14" spans="1:25" ht="12.75" x14ac:dyDescent="0.2">
      <c r="A14" s="11" t="s">
        <v>146</v>
      </c>
      <c r="B14" s="9">
        <v>22</v>
      </c>
      <c r="C14" s="9"/>
      <c r="D14" s="9" t="s">
        <v>57</v>
      </c>
      <c r="E14" s="9" t="s">
        <v>58</v>
      </c>
      <c r="F14" s="9">
        <v>7</v>
      </c>
      <c r="G14" s="9" t="s">
        <v>62</v>
      </c>
      <c r="H14" s="9" t="s">
        <v>68</v>
      </c>
      <c r="I14" s="9" t="s">
        <v>68</v>
      </c>
      <c r="J14" s="10"/>
      <c r="K14" s="1"/>
      <c r="L14" s="1"/>
      <c r="M14" s="2" t="s">
        <v>74</v>
      </c>
      <c r="N14" s="12"/>
      <c r="O14" s="12"/>
      <c r="P14" s="12"/>
      <c r="Q14" s="12"/>
      <c r="R14" s="12"/>
      <c r="S14" s="12" t="str">
        <f t="shared" si="0"/>
        <v xml:space="preserve">id screenout datum q1 q2_00 q2_01 q2_02 q2_03 q2_04 q2_05 q2_06 q2_07 </v>
      </c>
      <c r="T14" s="24" t="b">
        <f>ISERROR(FIND(" "&amp;UPPER(IF($L14&lt;&gt;"",$L14,$A14))&amp;" ",#REF!))</f>
        <v>1</v>
      </c>
      <c r="U14" s="24"/>
      <c r="V14" s="24" t="str">
        <f t="shared" si="1"/>
        <v/>
      </c>
      <c r="W14" s="24" t="str">
        <f t="shared" si="2"/>
        <v>q2_</v>
      </c>
      <c r="X14" s="24" t="str">
        <f t="shared" si="3"/>
        <v xml:space="preserve">q2_01 q2_02 q2_03 q2_04 q2_05 q2_06 q2_07 </v>
      </c>
      <c r="Y14" s="24">
        <f t="shared" si="4"/>
        <v>3</v>
      </c>
    </row>
    <row r="15" spans="1:25" ht="12.75" x14ac:dyDescent="0.2">
      <c r="A15" s="11" t="s">
        <v>147</v>
      </c>
      <c r="B15" s="9">
        <v>23</v>
      </c>
      <c r="C15" s="9"/>
      <c r="D15" s="9" t="s">
        <v>57</v>
      </c>
      <c r="E15" s="9" t="s">
        <v>58</v>
      </c>
      <c r="F15" s="9">
        <v>7</v>
      </c>
      <c r="G15" s="9" t="s">
        <v>62</v>
      </c>
      <c r="H15" s="9" t="s">
        <v>68</v>
      </c>
      <c r="I15" s="9" t="s">
        <v>68</v>
      </c>
      <c r="J15" s="10"/>
      <c r="K15" s="1"/>
      <c r="L15" s="1"/>
      <c r="M15" s="2" t="s">
        <v>75</v>
      </c>
      <c r="N15" s="12"/>
      <c r="O15" s="12"/>
      <c r="P15" s="12"/>
      <c r="Q15" s="12"/>
      <c r="R15" s="12"/>
      <c r="S15" s="12" t="str">
        <f t="shared" si="0"/>
        <v xml:space="preserve">id screenout datum q1 q2_00 q2_01 q2_02 q2_03 q2_04 q2_05 q2_06 q2_07 q2_99 </v>
      </c>
      <c r="T15" s="24" t="b">
        <f>ISERROR(FIND(" "&amp;UPPER(IF($L15&lt;&gt;"",$L15,$A15))&amp;" ",#REF!))</f>
        <v>1</v>
      </c>
      <c r="U15" s="24"/>
      <c r="V15" s="24" t="str">
        <f t="shared" si="1"/>
        <v>q2_</v>
      </c>
      <c r="W15" s="24" t="str">
        <f t="shared" si="2"/>
        <v>q2_</v>
      </c>
      <c r="X15" s="24" t="str">
        <f t="shared" si="3"/>
        <v xml:space="preserve">q2_01 q2_02 q2_03 q2_04 q2_05 q2_06 q2_07 </v>
      </c>
      <c r="Y15" s="24">
        <f t="shared" si="4"/>
        <v>3</v>
      </c>
    </row>
    <row r="16" spans="1:25" ht="12.75" x14ac:dyDescent="0.2">
      <c r="A16" s="11" t="s">
        <v>148</v>
      </c>
      <c r="B16" s="9">
        <v>24</v>
      </c>
      <c r="C16" s="9"/>
      <c r="D16" s="9" t="s">
        <v>61</v>
      </c>
      <c r="E16" s="9" t="s">
        <v>58</v>
      </c>
      <c r="F16" s="9">
        <v>5</v>
      </c>
      <c r="G16" s="9" t="s">
        <v>62</v>
      </c>
      <c r="H16" s="9" t="s">
        <v>65</v>
      </c>
      <c r="I16" s="9" t="s">
        <v>65</v>
      </c>
      <c r="J16" s="10"/>
      <c r="K16" s="1"/>
      <c r="L16" s="1"/>
      <c r="M16" s="2" t="s">
        <v>69</v>
      </c>
      <c r="N16" s="12"/>
      <c r="O16" s="12"/>
      <c r="P16" s="12"/>
      <c r="Q16" s="12"/>
      <c r="R16" s="12"/>
      <c r="S16" s="12" t="str">
        <f t="shared" si="0"/>
        <v xml:space="preserve">id screenout datum q1 q2_00 q2_01 q2_02 q2_03 q2_04 q2_05 q2_06 q2_07 q2_99 q3a </v>
      </c>
      <c r="T16" s="24" t="b">
        <f>ISERROR(FIND(" "&amp;UPPER(IF($L16&lt;&gt;"",$L16,$A16))&amp;" ",#REF!))</f>
        <v>1</v>
      </c>
      <c r="U16" s="24"/>
      <c r="V16" s="24" t="str">
        <f t="shared" si="1"/>
        <v>q3a</v>
      </c>
      <c r="W16" s="24" t="str">
        <f t="shared" si="2"/>
        <v>q3a</v>
      </c>
      <c r="X16" s="24" t="str">
        <f t="shared" si="3"/>
        <v xml:space="preserve">q3a </v>
      </c>
      <c r="Y16" s="24">
        <f t="shared" si="4"/>
        <v>3</v>
      </c>
    </row>
    <row r="17" spans="1:25" ht="12.75" x14ac:dyDescent="0.2">
      <c r="A17" s="11" t="s">
        <v>149</v>
      </c>
      <c r="B17" s="9">
        <v>25</v>
      </c>
      <c r="C17" s="9"/>
      <c r="D17" s="9" t="s">
        <v>61</v>
      </c>
      <c r="E17" s="9" t="s">
        <v>58</v>
      </c>
      <c r="F17" s="9">
        <v>5</v>
      </c>
      <c r="G17" s="9" t="s">
        <v>62</v>
      </c>
      <c r="H17" s="9" t="s">
        <v>65</v>
      </c>
      <c r="I17" s="9" t="s">
        <v>65</v>
      </c>
      <c r="J17" s="10"/>
      <c r="K17" s="1"/>
      <c r="L17" s="1"/>
      <c r="M17" s="2" t="s">
        <v>70</v>
      </c>
      <c r="N17" s="12"/>
      <c r="O17" s="12"/>
      <c r="P17" s="12"/>
      <c r="Q17" s="12"/>
      <c r="R17" s="12"/>
      <c r="S17" s="12" t="str">
        <f t="shared" si="0"/>
        <v xml:space="preserve">id screenout datum q1 q2_00 q2_01 q2_02 q2_03 q2_04 q2_05 q2_06 q2_07 q2_99 q3a q3b </v>
      </c>
      <c r="T17" s="24" t="b">
        <f>ISERROR(FIND(" "&amp;UPPER(IF($L17&lt;&gt;"",$L17,$A17))&amp;" ",#REF!))</f>
        <v>1</v>
      </c>
      <c r="U17" s="24"/>
      <c r="V17" s="24" t="str">
        <f t="shared" si="1"/>
        <v>q3b</v>
      </c>
      <c r="W17" s="24" t="str">
        <f t="shared" si="2"/>
        <v>q3b</v>
      </c>
      <c r="X17" s="24" t="str">
        <f t="shared" si="3"/>
        <v xml:space="preserve">q3b </v>
      </c>
      <c r="Y17" s="24">
        <f t="shared" si="4"/>
        <v>3</v>
      </c>
    </row>
    <row r="18" spans="1:25" ht="12.75" x14ac:dyDescent="0.2">
      <c r="A18" s="11" t="s">
        <v>150</v>
      </c>
      <c r="B18" s="9">
        <v>26</v>
      </c>
      <c r="C18" s="9"/>
      <c r="D18" s="9" t="s">
        <v>61</v>
      </c>
      <c r="E18" s="9" t="s">
        <v>58</v>
      </c>
      <c r="F18" s="9">
        <v>5</v>
      </c>
      <c r="G18" s="9" t="s">
        <v>62</v>
      </c>
      <c r="H18" s="9" t="s">
        <v>65</v>
      </c>
      <c r="I18" s="9" t="s">
        <v>65</v>
      </c>
      <c r="J18" s="10"/>
      <c r="K18" s="1"/>
      <c r="L18" s="1"/>
      <c r="M18" s="2" t="s">
        <v>71</v>
      </c>
      <c r="N18" s="12"/>
      <c r="O18" s="12"/>
      <c r="P18" s="12"/>
      <c r="Q18" s="12"/>
      <c r="R18" s="12"/>
      <c r="S18" s="12" t="str">
        <f t="shared" si="0"/>
        <v xml:space="preserve">id screenout datum q1 q2_00 q2_01 q2_02 q2_03 q2_04 q2_05 q2_06 q2_07 q2_99 q3a q3b q3c </v>
      </c>
      <c r="T18" s="24" t="b">
        <f>ISERROR(FIND(" "&amp;UPPER(IF($L18&lt;&gt;"",$L18,$A18))&amp;" ",#REF!))</f>
        <v>1</v>
      </c>
      <c r="U18" s="24"/>
      <c r="V18" s="24" t="str">
        <f t="shared" si="1"/>
        <v>q3c</v>
      </c>
      <c r="W18" s="24" t="str">
        <f t="shared" si="2"/>
        <v>q3c</v>
      </c>
      <c r="X18" s="24" t="str">
        <f t="shared" si="3"/>
        <v xml:space="preserve">q3c </v>
      </c>
      <c r="Y18" s="24">
        <f t="shared" si="4"/>
        <v>3</v>
      </c>
    </row>
    <row r="19" spans="1:25" ht="12.75" x14ac:dyDescent="0.2">
      <c r="A19" s="11" t="s">
        <v>151</v>
      </c>
      <c r="B19" s="9">
        <v>27</v>
      </c>
      <c r="C19" s="11"/>
      <c r="D19" s="9" t="s">
        <v>61</v>
      </c>
      <c r="E19" s="9" t="s">
        <v>58</v>
      </c>
      <c r="F19" s="9">
        <v>5</v>
      </c>
      <c r="G19" s="9" t="s">
        <v>62</v>
      </c>
      <c r="H19" s="9" t="s">
        <v>65</v>
      </c>
      <c r="I19" s="9" t="s">
        <v>65</v>
      </c>
      <c r="J19" s="10"/>
      <c r="K19" s="1"/>
      <c r="L19" s="1"/>
      <c r="M19" s="2" t="s">
        <v>72</v>
      </c>
      <c r="N19" s="12"/>
      <c r="O19" s="12"/>
      <c r="P19" s="12"/>
      <c r="Q19" s="12"/>
      <c r="R19" s="12"/>
      <c r="S19" s="12" t="str">
        <f t="shared" si="0"/>
        <v xml:space="preserve">id screenout datum q1 q2_00 q2_01 q2_02 q2_03 q2_04 q2_05 q2_06 q2_07 q2_99 q3a q3b q3c q3d </v>
      </c>
      <c r="T19" s="24" t="b">
        <f>ISERROR(FIND(" "&amp;UPPER(IF($L19&lt;&gt;"",$L19,$A19))&amp;" ",#REF!))</f>
        <v>1</v>
      </c>
      <c r="U19" s="24"/>
      <c r="V19" s="24" t="str">
        <f t="shared" si="1"/>
        <v>q3d</v>
      </c>
      <c r="W19" s="24" t="str">
        <f t="shared" si="2"/>
        <v>q3d</v>
      </c>
      <c r="X19" s="24" t="str">
        <f t="shared" si="3"/>
        <v xml:space="preserve">q3d </v>
      </c>
      <c r="Y19" s="24">
        <f t="shared" si="4"/>
        <v>3</v>
      </c>
    </row>
    <row r="20" spans="1:25" ht="12.75" x14ac:dyDescent="0.2">
      <c r="A20" s="11" t="s">
        <v>152</v>
      </c>
      <c r="B20" s="9">
        <v>28</v>
      </c>
      <c r="C20" s="9"/>
      <c r="D20" s="9" t="s">
        <v>61</v>
      </c>
      <c r="E20" s="9" t="s">
        <v>58</v>
      </c>
      <c r="F20" s="9">
        <v>5</v>
      </c>
      <c r="G20" s="9" t="s">
        <v>62</v>
      </c>
      <c r="H20" s="9" t="s">
        <v>65</v>
      </c>
      <c r="I20" s="9" t="s">
        <v>65</v>
      </c>
      <c r="J20" s="10"/>
      <c r="K20" s="1"/>
      <c r="L20" s="1"/>
      <c r="M20" s="2" t="s">
        <v>73</v>
      </c>
      <c r="N20" s="12"/>
      <c r="O20" s="12"/>
      <c r="P20" s="12"/>
      <c r="Q20" s="12"/>
      <c r="R20" s="12"/>
      <c r="S20" s="12" t="str">
        <f t="shared" si="0"/>
        <v xml:space="preserve">id screenout datum q1 q2_00 q2_01 q2_02 q2_03 q2_04 q2_05 q2_06 q2_07 q2_99 q3a q3b q3c q3d q3e </v>
      </c>
      <c r="T20" s="24" t="b">
        <f>ISERROR(FIND(" "&amp;UPPER(IF($L20&lt;&gt;"",$L20,$A20))&amp;" ",#REF!))</f>
        <v>1</v>
      </c>
      <c r="U20" s="24"/>
      <c r="V20" s="24" t="str">
        <f t="shared" si="1"/>
        <v>q3e</v>
      </c>
      <c r="W20" s="24" t="str">
        <f t="shared" si="2"/>
        <v>q3e</v>
      </c>
      <c r="X20" s="24" t="str">
        <f t="shared" si="3"/>
        <v xml:space="preserve">q3e </v>
      </c>
      <c r="Y20" s="24">
        <f t="shared" si="4"/>
        <v>3</v>
      </c>
    </row>
    <row r="21" spans="1:25" ht="12.75" x14ac:dyDescent="0.2">
      <c r="A21" s="11" t="s">
        <v>153</v>
      </c>
      <c r="B21" s="9">
        <v>29</v>
      </c>
      <c r="C21" s="9"/>
      <c r="D21" s="9" t="s">
        <v>61</v>
      </c>
      <c r="E21" s="9" t="s">
        <v>58</v>
      </c>
      <c r="F21" s="9">
        <v>5</v>
      </c>
      <c r="G21" s="9" t="s">
        <v>62</v>
      </c>
      <c r="H21" s="9" t="s">
        <v>65</v>
      </c>
      <c r="I21" s="9" t="s">
        <v>65</v>
      </c>
      <c r="J21" s="10"/>
      <c r="K21" s="1"/>
      <c r="L21" s="1"/>
      <c r="M21" s="2" t="s">
        <v>74</v>
      </c>
      <c r="N21" s="12"/>
      <c r="O21" s="12"/>
      <c r="P21" s="12"/>
      <c r="Q21" s="12"/>
      <c r="R21" s="12"/>
      <c r="S21" s="12" t="str">
        <f t="shared" si="0"/>
        <v xml:space="preserve">id screenout datum q1 q2_00 q2_01 q2_02 q2_03 q2_04 q2_05 q2_06 q2_07 q2_99 q3a q3b q3c q3d q3e q3f </v>
      </c>
      <c r="T21" s="24" t="b">
        <f>ISERROR(FIND(" "&amp;UPPER(IF($L21&lt;&gt;"",$L21,$A21))&amp;" ",#REF!))</f>
        <v>1</v>
      </c>
      <c r="U21" s="24"/>
      <c r="V21" s="24" t="str">
        <f t="shared" si="1"/>
        <v>q3f</v>
      </c>
      <c r="W21" s="24" t="str">
        <f t="shared" si="2"/>
        <v>q3f</v>
      </c>
      <c r="X21" s="24" t="str">
        <f t="shared" si="3"/>
        <v xml:space="preserve">q3f </v>
      </c>
      <c r="Y21" s="24">
        <f t="shared" si="4"/>
        <v>3</v>
      </c>
    </row>
    <row r="22" spans="1:25" ht="12.75" x14ac:dyDescent="0.2">
      <c r="A22" s="11" t="s">
        <v>154</v>
      </c>
      <c r="B22" s="9">
        <v>30</v>
      </c>
      <c r="C22" s="9"/>
      <c r="D22" s="9" t="s">
        <v>61</v>
      </c>
      <c r="E22" s="9" t="s">
        <v>58</v>
      </c>
      <c r="F22" s="9">
        <v>5</v>
      </c>
      <c r="G22" s="9" t="s">
        <v>62</v>
      </c>
      <c r="H22" s="9" t="s">
        <v>65</v>
      </c>
      <c r="I22" s="9" t="s">
        <v>65</v>
      </c>
      <c r="J22" s="10"/>
      <c r="K22" s="1"/>
      <c r="L22" s="1"/>
      <c r="M22" s="2" t="s">
        <v>75</v>
      </c>
      <c r="N22" s="12"/>
      <c r="O22" s="12"/>
      <c r="P22" s="12"/>
      <c r="Q22" s="12"/>
      <c r="R22" s="12"/>
      <c r="S22" s="12" t="str">
        <f t="shared" si="0"/>
        <v xml:space="preserve">id screenout datum q1 q2_00 q2_01 q2_02 q2_03 q2_04 q2_05 q2_06 q2_07 q2_99 q3a q3b q3c q3d q3e q3f q3g </v>
      </c>
      <c r="T22" s="24" t="b">
        <f>ISERROR(FIND(" "&amp;UPPER(IF($L22&lt;&gt;"",$L22,$A22))&amp;" ",#REF!))</f>
        <v>1</v>
      </c>
      <c r="U22" s="24"/>
      <c r="V22" s="24" t="str">
        <f t="shared" si="1"/>
        <v>q3g</v>
      </c>
      <c r="W22" s="24" t="str">
        <f t="shared" si="2"/>
        <v>q3g</v>
      </c>
      <c r="X22" s="24" t="str">
        <f t="shared" si="3"/>
        <v xml:space="preserve">q3g </v>
      </c>
      <c r="Y22" s="24">
        <f t="shared" si="4"/>
        <v>3</v>
      </c>
    </row>
    <row r="23" spans="1:25" ht="12.75" x14ac:dyDescent="0.2">
      <c r="A23" s="11" t="s">
        <v>157</v>
      </c>
      <c r="B23" s="9">
        <v>31</v>
      </c>
      <c r="C23" s="9"/>
      <c r="D23" s="9" t="s">
        <v>61</v>
      </c>
      <c r="E23" s="9" t="s">
        <v>58</v>
      </c>
      <c r="F23" s="9">
        <v>5</v>
      </c>
      <c r="G23" s="9" t="s">
        <v>62</v>
      </c>
      <c r="H23" s="9" t="s">
        <v>65</v>
      </c>
      <c r="I23" s="9" t="s">
        <v>65</v>
      </c>
      <c r="J23" s="10"/>
      <c r="K23" s="1"/>
      <c r="L23" s="1"/>
      <c r="M23" s="33" t="s">
        <v>83</v>
      </c>
      <c r="N23" s="12"/>
      <c r="O23" s="12"/>
      <c r="P23" s="12"/>
      <c r="Q23" s="12"/>
      <c r="R23" s="12"/>
      <c r="S23" s="12" t="str">
        <f t="shared" si="0"/>
        <v xml:space="preserve">id screenout datum q1 q2_00 q2_01 q2_02 q2_03 q2_04 q2_05 q2_06 q2_07 q2_99 q3a q3b q3c q3d q3e q3f q3g q4 </v>
      </c>
      <c r="T23" s="24" t="b">
        <f>ISERROR(FIND(" "&amp;UPPER(IF($L23&lt;&gt;"",$L23,$A23))&amp;" ",#REF!))</f>
        <v>1</v>
      </c>
      <c r="U23" s="24"/>
      <c r="V23" s="24" t="str">
        <f t="shared" si="1"/>
        <v>q4</v>
      </c>
      <c r="W23" s="24" t="str">
        <f t="shared" si="2"/>
        <v>q4</v>
      </c>
      <c r="X23" s="24" t="str">
        <f t="shared" si="3"/>
        <v xml:space="preserve">q4 </v>
      </c>
      <c r="Y23" s="24">
        <f t="shared" si="4"/>
        <v>3</v>
      </c>
    </row>
    <row r="24" spans="1:25" ht="12.75" x14ac:dyDescent="0.2">
      <c r="A24" s="11" t="s">
        <v>76</v>
      </c>
      <c r="B24" s="9">
        <v>52</v>
      </c>
      <c r="C24" s="9"/>
      <c r="D24" s="9" t="s">
        <v>61</v>
      </c>
      <c r="E24" s="9" t="s">
        <v>58</v>
      </c>
      <c r="F24" s="9">
        <v>6</v>
      </c>
      <c r="G24" s="9" t="s">
        <v>62</v>
      </c>
      <c r="H24" s="9" t="s">
        <v>65</v>
      </c>
      <c r="I24" s="11" t="s">
        <v>65</v>
      </c>
      <c r="J24" s="10"/>
      <c r="K24" s="1"/>
      <c r="L24" s="1"/>
      <c r="M24" s="2" t="s">
        <v>84</v>
      </c>
      <c r="N24" s="12"/>
      <c r="O24" s="12"/>
      <c r="P24" s="12"/>
      <c r="Q24" s="12"/>
      <c r="R24" s="12"/>
      <c r="S24" s="12" t="str">
        <f t="shared" si="0"/>
        <v xml:space="preserve">id screenout datum q1 q2_00 q2_01 q2_02 q2_03 q2_04 q2_05 q2_06 q2_07 q2_99 q3a q3b q3c q3d q3e q3f q3g q4 q6a </v>
      </c>
      <c r="T24" s="24" t="b">
        <f>ISERROR(FIND(" "&amp;UPPER(IF($L24&lt;&gt;"",$L24,$A24))&amp;" ",#REF!))</f>
        <v>1</v>
      </c>
      <c r="U24" s="24"/>
      <c r="V24" s="24" t="str">
        <f t="shared" si="1"/>
        <v>q6a</v>
      </c>
      <c r="W24" s="24" t="str">
        <f t="shared" si="2"/>
        <v>q6a</v>
      </c>
      <c r="X24" s="24" t="str">
        <f t="shared" si="3"/>
        <v xml:space="preserve">q6a </v>
      </c>
      <c r="Y24" s="24">
        <f t="shared" si="4"/>
        <v>3</v>
      </c>
    </row>
    <row r="25" spans="1:25" ht="12.75" x14ac:dyDescent="0.2">
      <c r="A25" s="11" t="s">
        <v>77</v>
      </c>
      <c r="B25" s="9">
        <v>53</v>
      </c>
      <c r="C25" s="9"/>
      <c r="D25" s="9" t="s">
        <v>61</v>
      </c>
      <c r="E25" s="9" t="s">
        <v>58</v>
      </c>
      <c r="F25" s="9">
        <v>6</v>
      </c>
      <c r="G25" s="9" t="s">
        <v>62</v>
      </c>
      <c r="H25" s="9" t="s">
        <v>65</v>
      </c>
      <c r="I25" s="11" t="s">
        <v>65</v>
      </c>
      <c r="J25" s="10"/>
      <c r="K25" s="1"/>
      <c r="L25" s="1"/>
      <c r="M25" s="2" t="s">
        <v>85</v>
      </c>
      <c r="N25" s="12"/>
      <c r="O25" s="12"/>
      <c r="P25" s="12"/>
      <c r="Q25" s="12"/>
      <c r="R25" s="12"/>
      <c r="S25" s="12" t="str">
        <f t="shared" si="0"/>
        <v xml:space="preserve">id screenout datum q1 q2_00 q2_01 q2_02 q2_03 q2_04 q2_05 q2_06 q2_07 q2_99 q3a q3b q3c q3d q3e q3f q3g q4 q6a q6b </v>
      </c>
      <c r="T25" s="24" t="b">
        <f>ISERROR(FIND(" "&amp;UPPER(IF($L25&lt;&gt;"",$L25,$A25))&amp;" ",#REF!))</f>
        <v>1</v>
      </c>
      <c r="U25" s="24"/>
      <c r="V25" s="24" t="str">
        <f t="shared" si="1"/>
        <v>q6b</v>
      </c>
      <c r="W25" s="24" t="str">
        <f t="shared" si="2"/>
        <v>q6b</v>
      </c>
      <c r="X25" s="24" t="str">
        <f t="shared" si="3"/>
        <v xml:space="preserve">q6b </v>
      </c>
      <c r="Y25" s="24">
        <f t="shared" si="4"/>
        <v>3</v>
      </c>
    </row>
    <row r="26" spans="1:25" ht="12.75" x14ac:dyDescent="0.2">
      <c r="A26" s="11" t="s">
        <v>78</v>
      </c>
      <c r="B26" s="9">
        <v>54</v>
      </c>
      <c r="C26" s="11"/>
      <c r="D26" s="9" t="s">
        <v>61</v>
      </c>
      <c r="E26" s="9" t="s">
        <v>58</v>
      </c>
      <c r="F26" s="9">
        <v>6</v>
      </c>
      <c r="G26" s="9" t="s">
        <v>62</v>
      </c>
      <c r="H26" s="9" t="s">
        <v>65</v>
      </c>
      <c r="I26" s="11" t="s">
        <v>65</v>
      </c>
      <c r="J26" s="10"/>
      <c r="K26" s="1"/>
      <c r="L26" s="1"/>
      <c r="M26" s="2" t="s">
        <v>86</v>
      </c>
      <c r="N26" s="12"/>
      <c r="O26" s="12"/>
      <c r="P26" s="12"/>
      <c r="Q26" s="12"/>
      <c r="R26" s="12"/>
      <c r="S26" s="12" t="str">
        <f t="shared" si="0"/>
        <v xml:space="preserve">id screenout datum q1 q2_00 q2_01 q2_02 q2_03 q2_04 q2_05 q2_06 q2_07 q2_99 q3a q3b q3c q3d q3e q3f q3g q4 q6a q6b q6c </v>
      </c>
      <c r="T26" s="24" t="b">
        <f>ISERROR(FIND(" "&amp;UPPER(IF($L26&lt;&gt;"",$L26,$A26))&amp;" ",#REF!))</f>
        <v>1</v>
      </c>
      <c r="U26" s="24"/>
      <c r="V26" s="24" t="str">
        <f t="shared" si="1"/>
        <v>q6c</v>
      </c>
      <c r="W26" s="24" t="str">
        <f t="shared" si="2"/>
        <v>q6c</v>
      </c>
      <c r="X26" s="24" t="str">
        <f t="shared" si="3"/>
        <v xml:space="preserve">q6c </v>
      </c>
      <c r="Y26" s="24">
        <f t="shared" si="4"/>
        <v>3</v>
      </c>
    </row>
    <row r="27" spans="1:25" ht="12.75" x14ac:dyDescent="0.2">
      <c r="A27" s="11" t="s">
        <v>79</v>
      </c>
      <c r="B27" s="9">
        <v>55</v>
      </c>
      <c r="C27" s="9"/>
      <c r="D27" s="9" t="s">
        <v>61</v>
      </c>
      <c r="E27" s="9" t="s">
        <v>58</v>
      </c>
      <c r="F27" s="9">
        <v>6</v>
      </c>
      <c r="G27" s="9" t="s">
        <v>62</v>
      </c>
      <c r="H27" s="9" t="s">
        <v>65</v>
      </c>
      <c r="I27" s="11" t="s">
        <v>65</v>
      </c>
      <c r="J27" s="10"/>
      <c r="K27" s="1"/>
      <c r="L27" s="1"/>
      <c r="M27" s="2" t="s">
        <v>87</v>
      </c>
      <c r="N27" s="12"/>
      <c r="O27" s="12"/>
      <c r="P27" s="12"/>
      <c r="Q27" s="12"/>
      <c r="R27" s="12"/>
      <c r="S27" s="12" t="str">
        <f t="shared" si="0"/>
        <v xml:space="preserve">id screenout datum q1 q2_00 q2_01 q2_02 q2_03 q2_04 q2_05 q2_06 q2_07 q2_99 q3a q3b q3c q3d q3e q3f q3g q4 q6a q6b q6c q6d </v>
      </c>
      <c r="T27" s="24" t="b">
        <f>ISERROR(FIND(" "&amp;UPPER(IF($L27&lt;&gt;"",$L27,$A27))&amp;" ",#REF!))</f>
        <v>1</v>
      </c>
      <c r="U27" s="24"/>
      <c r="V27" s="24" t="str">
        <f t="shared" si="1"/>
        <v>q6d</v>
      </c>
      <c r="W27" s="24" t="str">
        <f t="shared" si="2"/>
        <v>q6d</v>
      </c>
      <c r="X27" s="24" t="str">
        <f t="shared" si="3"/>
        <v xml:space="preserve">q6d </v>
      </c>
      <c r="Y27" s="24">
        <f t="shared" si="4"/>
        <v>3</v>
      </c>
    </row>
    <row r="28" spans="1:25" ht="12.75" x14ac:dyDescent="0.2">
      <c r="A28" s="11" t="s">
        <v>80</v>
      </c>
      <c r="B28" s="9">
        <v>56</v>
      </c>
      <c r="C28" s="9"/>
      <c r="D28" s="9" t="s">
        <v>61</v>
      </c>
      <c r="E28" s="9" t="s">
        <v>58</v>
      </c>
      <c r="F28" s="9">
        <v>6</v>
      </c>
      <c r="G28" s="9" t="s">
        <v>62</v>
      </c>
      <c r="H28" s="9" t="s">
        <v>65</v>
      </c>
      <c r="I28" s="11" t="s">
        <v>65</v>
      </c>
      <c r="J28" s="10"/>
      <c r="K28" s="1"/>
      <c r="L28" s="1"/>
      <c r="M28" s="2" t="s">
        <v>88</v>
      </c>
      <c r="N28" s="12"/>
      <c r="O28" s="12"/>
      <c r="P28" s="12"/>
      <c r="Q28" s="12"/>
      <c r="R28" s="12"/>
      <c r="S28" s="12" t="str">
        <f t="shared" si="0"/>
        <v xml:space="preserve">id screenout datum q1 q2_00 q2_01 q2_02 q2_03 q2_04 q2_05 q2_06 q2_07 q2_99 q3a q3b q3c q3d q3e q3f q3g q4 q6a q6b q6c q6d q6e </v>
      </c>
      <c r="T28" s="24" t="b">
        <f>ISERROR(FIND(" "&amp;UPPER(IF($L28&lt;&gt;"",$L28,$A28))&amp;" ",#REF!))</f>
        <v>1</v>
      </c>
      <c r="U28" s="24"/>
      <c r="V28" s="24" t="str">
        <f t="shared" si="1"/>
        <v>q6e</v>
      </c>
      <c r="W28" s="24" t="str">
        <f t="shared" si="2"/>
        <v>q6e</v>
      </c>
      <c r="X28" s="24" t="str">
        <f t="shared" si="3"/>
        <v xml:space="preserve">q6e </v>
      </c>
      <c r="Y28" s="24">
        <f t="shared" si="4"/>
        <v>3</v>
      </c>
    </row>
    <row r="29" spans="1:25" ht="12.75" x14ac:dyDescent="0.2">
      <c r="A29" s="11" t="s">
        <v>81</v>
      </c>
      <c r="B29" s="9">
        <v>57</v>
      </c>
      <c r="C29" s="9"/>
      <c r="D29" s="9" t="s">
        <v>61</v>
      </c>
      <c r="E29" s="9" t="s">
        <v>58</v>
      </c>
      <c r="F29" s="9">
        <v>6</v>
      </c>
      <c r="G29" s="9" t="s">
        <v>62</v>
      </c>
      <c r="H29" s="9" t="s">
        <v>65</v>
      </c>
      <c r="I29" s="11" t="s">
        <v>65</v>
      </c>
      <c r="J29" s="10"/>
      <c r="K29" s="1"/>
      <c r="L29" s="1"/>
      <c r="M29" s="2" t="s">
        <v>89</v>
      </c>
      <c r="N29" s="12"/>
      <c r="O29" s="12"/>
      <c r="P29" s="12"/>
      <c r="Q29" s="12"/>
      <c r="R29" s="12"/>
      <c r="S29" s="12" t="str">
        <f t="shared" si="0"/>
        <v xml:space="preserve">id screenout datum q1 q2_00 q2_01 q2_02 q2_03 q2_04 q2_05 q2_06 q2_07 q2_99 q3a q3b q3c q3d q3e q3f q3g q4 q6a q6b q6c q6d q6e q6f </v>
      </c>
      <c r="T29" s="24" t="b">
        <f>ISERROR(FIND(" "&amp;UPPER(IF($L29&lt;&gt;"",$L29,$A29))&amp;" ",#REF!))</f>
        <v>1</v>
      </c>
      <c r="U29" s="24"/>
      <c r="V29" s="24" t="str">
        <f t="shared" si="1"/>
        <v>q6f</v>
      </c>
      <c r="W29" s="24" t="str">
        <f t="shared" si="2"/>
        <v>q6f</v>
      </c>
      <c r="X29" s="24" t="str">
        <f t="shared" si="3"/>
        <v xml:space="preserve">q6f </v>
      </c>
      <c r="Y29" s="24">
        <f t="shared" si="4"/>
        <v>3</v>
      </c>
    </row>
    <row r="30" spans="1:25" ht="12.75" x14ac:dyDescent="0.2">
      <c r="A30" s="11" t="s">
        <v>82</v>
      </c>
      <c r="B30" s="9">
        <v>58</v>
      </c>
      <c r="C30" s="9"/>
      <c r="D30" s="9" t="s">
        <v>61</v>
      </c>
      <c r="E30" s="9" t="s">
        <v>58</v>
      </c>
      <c r="F30" s="9">
        <v>6</v>
      </c>
      <c r="G30" s="9" t="s">
        <v>62</v>
      </c>
      <c r="H30" s="9" t="s">
        <v>65</v>
      </c>
      <c r="I30" s="11" t="s">
        <v>65</v>
      </c>
      <c r="J30" s="10"/>
      <c r="K30" s="1"/>
      <c r="L30" s="1"/>
      <c r="M30" s="2" t="s">
        <v>90</v>
      </c>
      <c r="N30" s="12"/>
      <c r="O30" s="12"/>
      <c r="P30" s="12"/>
      <c r="Q30" s="12"/>
      <c r="R30" s="12"/>
      <c r="S30" s="12" t="str">
        <f t="shared" si="0"/>
        <v xml:space="preserve">id screenout datum q1 q2_00 q2_01 q2_02 q2_03 q2_04 q2_05 q2_06 q2_07 q2_99 q3a q3b q3c q3d q3e q3f q3g q4 q6a q6b q6c q6d q6e q6f q6g </v>
      </c>
      <c r="T30" s="24" t="b">
        <f>ISERROR(FIND(" "&amp;UPPER(IF($L30&lt;&gt;"",$L30,$A30))&amp;" ",#REF!))</f>
        <v>1</v>
      </c>
      <c r="U30" s="24"/>
      <c r="V30" s="24" t="str">
        <f t="shared" si="1"/>
        <v>q6g</v>
      </c>
      <c r="W30" s="24" t="str">
        <f t="shared" si="2"/>
        <v>q6g</v>
      </c>
      <c r="X30" s="24" t="str">
        <f t="shared" si="3"/>
        <v xml:space="preserve">q6g </v>
      </c>
      <c r="Y30" s="24">
        <f t="shared" si="4"/>
        <v>3</v>
      </c>
    </row>
    <row r="31" spans="1:25" ht="12.75" x14ac:dyDescent="0.2">
      <c r="A31" s="11" t="s">
        <v>345</v>
      </c>
      <c r="B31" s="9">
        <v>59</v>
      </c>
      <c r="C31" s="9"/>
      <c r="D31" s="9" t="s">
        <v>61</v>
      </c>
      <c r="E31" s="9" t="s">
        <v>58</v>
      </c>
      <c r="F31" s="9">
        <v>6</v>
      </c>
      <c r="G31" s="9" t="s">
        <v>62</v>
      </c>
      <c r="H31" s="9" t="s">
        <v>65</v>
      </c>
      <c r="I31" s="11" t="s">
        <v>65</v>
      </c>
      <c r="J31" s="10"/>
      <c r="K31" s="1"/>
      <c r="L31" s="1"/>
      <c r="M31" s="2" t="s">
        <v>91</v>
      </c>
      <c r="N31" s="12"/>
      <c r="O31" s="12"/>
      <c r="P31" s="12"/>
      <c r="Q31" s="12"/>
      <c r="R31" s="12"/>
      <c r="S31" s="12" t="str">
        <f t="shared" si="0"/>
        <v xml:space="preserve">id screenout datum q1 q2_00 q2_01 q2_02 q2_03 q2_04 q2_05 q2_06 q2_07 q2_99 q3a q3b q3c q3d q3e q3f q3g q4 q6a q6b q6c q6d q6e q6f q6g q6h </v>
      </c>
      <c r="T31" s="24" t="b">
        <f>ISERROR(FIND(" "&amp;UPPER(IF($L31&lt;&gt;"",$L31,$A31))&amp;" ",#REF!))</f>
        <v>1</v>
      </c>
      <c r="U31" s="24"/>
      <c r="V31" s="24" t="str">
        <f t="shared" si="1"/>
        <v>q6h</v>
      </c>
      <c r="W31" s="24" t="str">
        <f t="shared" si="2"/>
        <v>q6h</v>
      </c>
      <c r="X31" s="24" t="str">
        <f t="shared" si="3"/>
        <v xml:space="preserve">q6h </v>
      </c>
      <c r="Y31" s="24">
        <f t="shared" si="4"/>
        <v>3</v>
      </c>
    </row>
    <row r="32" spans="1:25" ht="12.75" x14ac:dyDescent="0.2">
      <c r="A32" s="11" t="s">
        <v>92</v>
      </c>
      <c r="B32" s="9">
        <v>67</v>
      </c>
      <c r="C32" s="9"/>
      <c r="D32" s="9" t="s">
        <v>61</v>
      </c>
      <c r="E32" s="9" t="s">
        <v>58</v>
      </c>
      <c r="F32" s="9">
        <v>6</v>
      </c>
      <c r="G32" s="9" t="s">
        <v>62</v>
      </c>
      <c r="H32" s="9" t="s">
        <v>65</v>
      </c>
      <c r="I32" s="9" t="s">
        <v>65</v>
      </c>
      <c r="J32" s="10"/>
      <c r="K32" s="1"/>
      <c r="L32" s="1"/>
      <c r="M32" s="33" t="s">
        <v>138</v>
      </c>
      <c r="N32" s="12"/>
      <c r="O32" s="12"/>
      <c r="P32" s="12"/>
      <c r="Q32" s="12"/>
      <c r="R32" s="12"/>
      <c r="S32" s="12" t="str">
        <f t="shared" si="0"/>
        <v xml:space="preserve">id screenout datum q1 q2_00 q2_01 q2_02 q2_03 q2_04 q2_05 q2_06 q2_07 q2_99 q3a q3b q3c q3d q3e q3f q3g q4 q6a q6b q6c q6d q6e q6f q6g q6h sel1 </v>
      </c>
      <c r="T32" s="24" t="b">
        <f>ISERROR(FIND(" "&amp;UPPER(IF($L32&lt;&gt;"",$L32,$A32))&amp;" ",#REF!))</f>
        <v>1</v>
      </c>
      <c r="U32" s="24"/>
      <c r="V32" s="24" t="str">
        <f t="shared" si="1"/>
        <v>sel</v>
      </c>
      <c r="W32" s="24" t="str">
        <f t="shared" si="2"/>
        <v>sel</v>
      </c>
      <c r="X32" s="24" t="str">
        <f t="shared" si="3"/>
        <v xml:space="preserve">sel1 </v>
      </c>
      <c r="Y32" s="24">
        <f t="shared" si="4"/>
        <v>3</v>
      </c>
    </row>
    <row r="33" spans="1:25" ht="12.75" x14ac:dyDescent="0.2">
      <c r="A33" s="11" t="s">
        <v>329</v>
      </c>
      <c r="B33" s="9">
        <v>68</v>
      </c>
      <c r="C33" s="9"/>
      <c r="D33" s="9" t="s">
        <v>61</v>
      </c>
      <c r="E33" s="9" t="s">
        <v>58</v>
      </c>
      <c r="F33" s="9">
        <v>6</v>
      </c>
      <c r="G33" s="9" t="s">
        <v>62</v>
      </c>
      <c r="H33" s="9" t="s">
        <v>65</v>
      </c>
      <c r="I33" s="9" t="s">
        <v>65</v>
      </c>
      <c r="J33" s="10"/>
      <c r="K33" s="1"/>
      <c r="L33" s="1"/>
      <c r="M33" s="2" t="str">
        <f t="shared" ref="M33:M48" si="5">INDEX($M$24:$M$31,P33)</f>
        <v>Schnelle Umsetzung</v>
      </c>
      <c r="N33" s="12"/>
      <c r="O33" s="12"/>
      <c r="P33" s="12">
        <v>1</v>
      </c>
      <c r="Q33" s="12"/>
      <c r="R33" s="12"/>
      <c r="S33" s="12" t="str">
        <f t="shared" si="0"/>
        <v xml:space="preserve">id screenout datum q1 q2_00 q2_01 q2_02 q2_03 q2_04 q2_05 q2_06 q2_07 q2_99 q3a q3b q3c q3d q3e q3f q3g q4 q6a q6b q6c q6d q6e q6f q6g q6h sel1 q7a1 </v>
      </c>
      <c r="T33" s="24" t="b">
        <f>ISERROR(FIND(" "&amp;UPPER(IF($L33&lt;&gt;"",$L33,$A33))&amp;" ",#REF!))</f>
        <v>1</v>
      </c>
      <c r="U33" s="24"/>
      <c r="V33" s="24" t="str">
        <f t="shared" si="1"/>
        <v/>
      </c>
      <c r="W33" s="24" t="str">
        <f t="shared" si="2"/>
        <v>q7a</v>
      </c>
      <c r="X33" s="24" t="str">
        <f t="shared" si="3"/>
        <v xml:space="preserve">q7a1 </v>
      </c>
      <c r="Y33" s="24">
        <f t="shared" si="4"/>
        <v>3</v>
      </c>
    </row>
    <row r="34" spans="1:25" ht="12.75" x14ac:dyDescent="0.2">
      <c r="A34" s="11" t="s">
        <v>330</v>
      </c>
      <c r="B34" s="9">
        <v>69</v>
      </c>
      <c r="C34" s="9"/>
      <c r="D34" s="9" t="s">
        <v>61</v>
      </c>
      <c r="E34" s="9" t="s">
        <v>58</v>
      </c>
      <c r="F34" s="9">
        <v>7</v>
      </c>
      <c r="G34" s="9" t="s">
        <v>62</v>
      </c>
      <c r="H34" s="9" t="s">
        <v>65</v>
      </c>
      <c r="I34" s="9" t="s">
        <v>65</v>
      </c>
      <c r="J34" s="10"/>
      <c r="K34" s="1"/>
      <c r="L34" s="1"/>
      <c r="M34" s="2" t="str">
        <f t="shared" si="5"/>
        <v>Schnelle Umsetzung</v>
      </c>
      <c r="N34" s="12"/>
      <c r="O34" s="12"/>
      <c r="P34" s="12">
        <f>P33</f>
        <v>1</v>
      </c>
      <c r="Q34" s="12"/>
      <c r="R34" s="12"/>
      <c r="S34" s="12" t="str">
        <f t="shared" si="0"/>
        <v xml:space="preserve">id screenout datum q1 q2_00 q2_01 q2_02 q2_03 q2_04 q2_05 q2_06 q2_07 q2_99 q3a q3b q3c q3d q3e q3f q3g q4 q6a q6b q6c q6d q6e q6f q6g q6h sel1 q7a1 q7a2 </v>
      </c>
      <c r="T34" s="24" t="b">
        <f>ISERROR(FIND(" "&amp;UPPER(IF($L34&lt;&gt;"",$L34,$A34))&amp;" ",#REF!))</f>
        <v>1</v>
      </c>
      <c r="U34" s="24"/>
      <c r="V34" s="24" t="str">
        <f t="shared" si="1"/>
        <v>q7a</v>
      </c>
      <c r="W34" s="24" t="str">
        <f t="shared" si="2"/>
        <v>q7a</v>
      </c>
      <c r="X34" s="24" t="str">
        <f t="shared" si="3"/>
        <v xml:space="preserve">q7a1 q7a2 </v>
      </c>
      <c r="Y34" s="24">
        <f t="shared" si="4"/>
        <v>3</v>
      </c>
    </row>
    <row r="35" spans="1:25" ht="12.75" x14ac:dyDescent="0.2">
      <c r="A35" s="11" t="s">
        <v>331</v>
      </c>
      <c r="B35" s="9">
        <v>70</v>
      </c>
      <c r="C35" s="9"/>
      <c r="D35" s="9" t="s">
        <v>61</v>
      </c>
      <c r="E35" s="9" t="s">
        <v>58</v>
      </c>
      <c r="F35" s="9">
        <v>6</v>
      </c>
      <c r="G35" s="9" t="s">
        <v>62</v>
      </c>
      <c r="H35" s="9" t="s">
        <v>65</v>
      </c>
      <c r="I35" s="9" t="s">
        <v>65</v>
      </c>
      <c r="J35" s="10"/>
      <c r="K35" s="1"/>
      <c r="L35" s="1"/>
      <c r="M35" s="2" t="str">
        <f t="shared" si="5"/>
        <v>Kurzfristige Anpassungen</v>
      </c>
      <c r="N35" s="12"/>
      <c r="O35" s="12"/>
      <c r="P35" s="12">
        <f>P34+1</f>
        <v>2</v>
      </c>
      <c r="Q35" s="12"/>
      <c r="R35" s="12"/>
      <c r="S35" s="12" t="str">
        <f t="shared" si="0"/>
        <v xml:space="preserve">id screenout datum q1 q2_00 q2_01 q2_02 q2_03 q2_04 q2_05 q2_06 q2_07 q2_99 q3a q3b q3c q3d q3e q3f q3g q4 q6a q6b q6c q6d q6e q6f q6g q6h sel1 q7a1 q7a2 q7b1 </v>
      </c>
      <c r="T35" s="24" t="b">
        <f>ISERROR(FIND(" "&amp;UPPER(IF($L35&lt;&gt;"",$L35,$A35))&amp;" ",#REF!))</f>
        <v>1</v>
      </c>
      <c r="U35" s="24"/>
      <c r="V35" s="24" t="str">
        <f t="shared" si="1"/>
        <v/>
      </c>
      <c r="W35" s="24" t="str">
        <f t="shared" si="2"/>
        <v>q7b</v>
      </c>
      <c r="X35" s="24" t="str">
        <f t="shared" si="3"/>
        <v xml:space="preserve">q7b1 </v>
      </c>
      <c r="Y35" s="24">
        <f t="shared" si="4"/>
        <v>3</v>
      </c>
    </row>
    <row r="36" spans="1:25" ht="12.75" x14ac:dyDescent="0.2">
      <c r="A36" s="11" t="s">
        <v>332</v>
      </c>
      <c r="B36" s="9">
        <v>71</v>
      </c>
      <c r="C36" s="9"/>
      <c r="D36" s="9" t="s">
        <v>61</v>
      </c>
      <c r="E36" s="9" t="s">
        <v>58</v>
      </c>
      <c r="F36" s="9">
        <v>7</v>
      </c>
      <c r="G36" s="9" t="s">
        <v>62</v>
      </c>
      <c r="H36" s="9" t="s">
        <v>65</v>
      </c>
      <c r="I36" s="9" t="s">
        <v>65</v>
      </c>
      <c r="J36" s="10"/>
      <c r="K36" s="1"/>
      <c r="L36" s="1"/>
      <c r="M36" s="2" t="str">
        <f t="shared" si="5"/>
        <v>Kurzfristige Anpassungen</v>
      </c>
      <c r="N36" s="12"/>
      <c r="O36" s="12"/>
      <c r="P36" s="12">
        <f t="shared" ref="P36" si="6">P35</f>
        <v>2</v>
      </c>
      <c r="Q36" s="12"/>
      <c r="R36" s="12"/>
      <c r="S36" s="12" t="str">
        <f t="shared" si="0"/>
        <v xml:space="preserve">id screenout datum q1 q2_00 q2_01 q2_02 q2_03 q2_04 q2_05 q2_06 q2_07 q2_99 q3a q3b q3c q3d q3e q3f q3g q4 q6a q6b q6c q6d q6e q6f q6g q6h sel1 q7a1 q7a2 q7b1 q7b2 </v>
      </c>
      <c r="T36" s="24" t="b">
        <f>ISERROR(FIND(" "&amp;UPPER(IF($L36&lt;&gt;"",$L36,$A36))&amp;" ",#REF!))</f>
        <v>1</v>
      </c>
      <c r="U36" s="24"/>
      <c r="V36" s="24" t="str">
        <f t="shared" si="1"/>
        <v>q7b</v>
      </c>
      <c r="W36" s="24" t="str">
        <f t="shared" si="2"/>
        <v>q7b</v>
      </c>
      <c r="X36" s="24" t="str">
        <f t="shared" si="3"/>
        <v xml:space="preserve">q7b1 q7b2 </v>
      </c>
      <c r="Y36" s="24">
        <f t="shared" si="4"/>
        <v>3</v>
      </c>
    </row>
    <row r="37" spans="1:25" ht="12.75" x14ac:dyDescent="0.2">
      <c r="A37" s="11" t="s">
        <v>333</v>
      </c>
      <c r="B37" s="9">
        <v>72</v>
      </c>
      <c r="C37" s="9"/>
      <c r="D37" s="9" t="s">
        <v>61</v>
      </c>
      <c r="E37" s="9" t="s">
        <v>58</v>
      </c>
      <c r="F37" s="9">
        <v>6</v>
      </c>
      <c r="G37" s="9" t="s">
        <v>62</v>
      </c>
      <c r="H37" s="9" t="s">
        <v>65</v>
      </c>
      <c r="I37" s="9" t="s">
        <v>65</v>
      </c>
      <c r="J37" s="10"/>
      <c r="K37" s="1"/>
      <c r="L37" s="1"/>
      <c r="M37" s="2" t="str">
        <f t="shared" si="5"/>
        <v>Korrektheit der Daten</v>
      </c>
      <c r="N37" s="12"/>
      <c r="O37" s="12"/>
      <c r="P37" s="12">
        <f t="shared" ref="P37" si="7">P36+1</f>
        <v>3</v>
      </c>
      <c r="Q37" s="12"/>
      <c r="R37" s="12"/>
      <c r="S37" s="12" t="str">
        <f t="shared" si="0"/>
        <v xml:space="preserve">id screenout datum q1 q2_00 q2_01 q2_02 q2_03 q2_04 q2_05 q2_06 q2_07 q2_99 q3a q3b q3c q3d q3e q3f q3g q4 q6a q6b q6c q6d q6e q6f q6g q6h sel1 q7a1 q7a2 q7b1 q7b2 q7c1 </v>
      </c>
      <c r="T37" s="24" t="b">
        <f>ISERROR(FIND(" "&amp;UPPER(IF($L37&lt;&gt;"",$L37,$A37))&amp;" ",#REF!))</f>
        <v>1</v>
      </c>
      <c r="U37" s="24"/>
      <c r="V37" s="24" t="str">
        <f t="shared" si="1"/>
        <v/>
      </c>
      <c r="W37" s="24" t="str">
        <f t="shared" si="2"/>
        <v>q7c</v>
      </c>
      <c r="X37" s="24" t="str">
        <f t="shared" si="3"/>
        <v xml:space="preserve">q7c1 </v>
      </c>
      <c r="Y37" s="24">
        <f t="shared" si="4"/>
        <v>3</v>
      </c>
    </row>
    <row r="38" spans="1:25" ht="12.75" x14ac:dyDescent="0.2">
      <c r="A38" s="11" t="s">
        <v>334</v>
      </c>
      <c r="B38" s="9">
        <v>73</v>
      </c>
      <c r="C38" s="9"/>
      <c r="D38" s="9" t="s">
        <v>61</v>
      </c>
      <c r="E38" s="9" t="s">
        <v>58</v>
      </c>
      <c r="F38" s="9">
        <v>7</v>
      </c>
      <c r="G38" s="9" t="s">
        <v>62</v>
      </c>
      <c r="H38" s="9" t="s">
        <v>65</v>
      </c>
      <c r="I38" s="9" t="s">
        <v>65</v>
      </c>
      <c r="J38" s="10"/>
      <c r="K38" s="1"/>
      <c r="L38" s="1"/>
      <c r="M38" s="2" t="str">
        <f t="shared" si="5"/>
        <v>Korrektheit der Daten</v>
      </c>
      <c r="N38" s="12"/>
      <c r="O38" s="12"/>
      <c r="P38" s="12">
        <f t="shared" ref="P38" si="8">P37</f>
        <v>3</v>
      </c>
      <c r="Q38" s="12"/>
      <c r="R38" s="12"/>
      <c r="S38" s="12" t="str">
        <f t="shared" si="0"/>
        <v xml:space="preserve">id screenout datum q1 q2_00 q2_01 q2_02 q2_03 q2_04 q2_05 q2_06 q2_07 q2_99 q3a q3b q3c q3d q3e q3f q3g q4 q6a q6b q6c q6d q6e q6f q6g q6h sel1 q7a1 q7a2 q7b1 q7b2 q7c1 q7c2 </v>
      </c>
      <c r="T38" s="24" t="b">
        <f>ISERROR(FIND(" "&amp;UPPER(IF($L38&lt;&gt;"",$L38,$A38))&amp;" ",#REF!))</f>
        <v>1</v>
      </c>
      <c r="U38" s="24"/>
      <c r="V38" s="24" t="str">
        <f t="shared" si="1"/>
        <v>q7c</v>
      </c>
      <c r="W38" s="24" t="str">
        <f t="shared" si="2"/>
        <v>q7c</v>
      </c>
      <c r="X38" s="24" t="str">
        <f t="shared" si="3"/>
        <v xml:space="preserve">q7c1 q7c2 </v>
      </c>
      <c r="Y38" s="24">
        <f t="shared" si="4"/>
        <v>3</v>
      </c>
    </row>
    <row r="39" spans="1:25" ht="12.75" x14ac:dyDescent="0.2">
      <c r="A39" s="11" t="s">
        <v>335</v>
      </c>
      <c r="B39" s="9">
        <v>74</v>
      </c>
      <c r="C39" s="9"/>
      <c r="D39" s="9" t="s">
        <v>61</v>
      </c>
      <c r="E39" s="9" t="s">
        <v>58</v>
      </c>
      <c r="F39" s="9">
        <v>6</v>
      </c>
      <c r="G39" s="9" t="s">
        <v>62</v>
      </c>
      <c r="H39" s="9" t="s">
        <v>65</v>
      </c>
      <c r="I39" s="9" t="s">
        <v>65</v>
      </c>
      <c r="J39" s="10"/>
      <c r="K39" s="1"/>
      <c r="L39" s="1"/>
      <c r="M39" s="2" t="str">
        <f t="shared" si="5"/>
        <v>Freundlichkeit der Tabellenbandersteller</v>
      </c>
      <c r="N39" s="12"/>
      <c r="O39" s="12"/>
      <c r="P39" s="12">
        <f t="shared" ref="P39" si="9">P38+1</f>
        <v>4</v>
      </c>
      <c r="Q39" s="12"/>
      <c r="R39" s="12"/>
      <c r="S39" s="12" t="str">
        <f t="shared" si="0"/>
        <v xml:space="preserve">id screenout datum q1 q2_00 q2_01 q2_02 q2_03 q2_04 q2_05 q2_06 q2_07 q2_99 q3a q3b q3c q3d q3e q3f q3g q4 q6a q6b q6c q6d q6e q6f q6g q6h sel1 q7a1 q7a2 q7b1 q7b2 q7c1 q7c2 q7d1 </v>
      </c>
      <c r="T39" s="24" t="b">
        <f>ISERROR(FIND(" "&amp;UPPER(IF($L39&lt;&gt;"",$L39,$A39))&amp;" ",#REF!))</f>
        <v>1</v>
      </c>
      <c r="U39" s="24"/>
      <c r="V39" s="24" t="str">
        <f t="shared" si="1"/>
        <v/>
      </c>
      <c r="W39" s="24" t="str">
        <f t="shared" si="2"/>
        <v>q7d</v>
      </c>
      <c r="X39" s="24" t="str">
        <f t="shared" si="3"/>
        <v xml:space="preserve">q7d1 </v>
      </c>
      <c r="Y39" s="24">
        <f t="shared" si="4"/>
        <v>3</v>
      </c>
    </row>
    <row r="40" spans="1:25" ht="12.75" x14ac:dyDescent="0.2">
      <c r="A40" s="11" t="s">
        <v>336</v>
      </c>
      <c r="B40" s="9">
        <v>75</v>
      </c>
      <c r="C40" s="9"/>
      <c r="D40" s="9" t="s">
        <v>61</v>
      </c>
      <c r="E40" s="9" t="s">
        <v>58</v>
      </c>
      <c r="F40" s="9">
        <v>7</v>
      </c>
      <c r="G40" s="9" t="s">
        <v>62</v>
      </c>
      <c r="H40" s="9" t="s">
        <v>65</v>
      </c>
      <c r="I40" s="9" t="s">
        <v>65</v>
      </c>
      <c r="J40" s="10"/>
      <c r="K40" s="1"/>
      <c r="L40" s="1"/>
      <c r="M40" s="2" t="str">
        <f t="shared" si="5"/>
        <v>Freundlichkeit der Tabellenbandersteller</v>
      </c>
      <c r="N40" s="12"/>
      <c r="O40" s="12"/>
      <c r="P40" s="12">
        <f t="shared" ref="P40" si="10">P39</f>
        <v>4</v>
      </c>
      <c r="Q40" s="12"/>
      <c r="R40" s="12"/>
      <c r="S40" s="12" t="str">
        <f t="shared" si="0"/>
        <v xml:space="preserve">id screenout datum q1 q2_00 q2_01 q2_02 q2_03 q2_04 q2_05 q2_06 q2_07 q2_99 q3a q3b q3c q3d q3e q3f q3g q4 q6a q6b q6c q6d q6e q6f q6g q6h sel1 q7a1 q7a2 q7b1 q7b2 q7c1 q7c2 q7d1 q7d2 </v>
      </c>
      <c r="T40" s="24" t="b">
        <f>ISERROR(FIND(" "&amp;UPPER(IF($L40&lt;&gt;"",$L40,$A40))&amp;" ",#REF!))</f>
        <v>1</v>
      </c>
      <c r="U40" s="24"/>
      <c r="V40" s="24" t="str">
        <f t="shared" si="1"/>
        <v>q7d</v>
      </c>
      <c r="W40" s="24" t="str">
        <f t="shared" si="2"/>
        <v>q7d</v>
      </c>
      <c r="X40" s="24" t="str">
        <f t="shared" si="3"/>
        <v xml:space="preserve">q7d1 q7d2 </v>
      </c>
      <c r="Y40" s="24">
        <f t="shared" si="4"/>
        <v>3</v>
      </c>
    </row>
    <row r="41" spans="1:25" ht="12.75" x14ac:dyDescent="0.2">
      <c r="A41" s="11" t="s">
        <v>337</v>
      </c>
      <c r="B41" s="9">
        <v>76</v>
      </c>
      <c r="C41" s="9"/>
      <c r="D41" s="9" t="s">
        <v>61</v>
      </c>
      <c r="E41" s="9" t="s">
        <v>58</v>
      </c>
      <c r="F41" s="9">
        <v>6</v>
      </c>
      <c r="G41" s="9" t="s">
        <v>62</v>
      </c>
      <c r="H41" s="9" t="s">
        <v>65</v>
      </c>
      <c r="I41" s="9" t="s">
        <v>65</v>
      </c>
      <c r="J41" s="10"/>
      <c r="K41" s="1"/>
      <c r="L41" s="1"/>
      <c r="M41" s="2" t="str">
        <f t="shared" si="5"/>
        <v>Langfristige Zusammenarbeit</v>
      </c>
      <c r="N41" s="12"/>
      <c r="O41" s="12"/>
      <c r="P41" s="12">
        <f t="shared" ref="P41" si="11">P40+1</f>
        <v>5</v>
      </c>
      <c r="Q41" s="12"/>
      <c r="R41" s="12"/>
      <c r="S41" s="12" t="str">
        <f t="shared" si="0"/>
        <v xml:space="preserve">id screenout datum q1 q2_00 q2_01 q2_02 q2_03 q2_04 q2_05 q2_06 q2_07 q2_99 q3a q3b q3c q3d q3e q3f q3g q4 q6a q6b q6c q6d q6e q6f q6g q6h sel1 q7a1 q7a2 q7b1 q7b2 q7c1 q7c2 q7d1 q7d2 q7e1 </v>
      </c>
      <c r="T41" s="24" t="b">
        <f>ISERROR(FIND(" "&amp;UPPER(IF($L41&lt;&gt;"",$L41,$A41))&amp;" ",#REF!))</f>
        <v>1</v>
      </c>
      <c r="U41" s="24"/>
      <c r="V41" s="24" t="str">
        <f t="shared" si="1"/>
        <v/>
      </c>
      <c r="W41" s="24" t="str">
        <f t="shared" si="2"/>
        <v>q7e</v>
      </c>
      <c r="X41" s="24" t="str">
        <f t="shared" si="3"/>
        <v xml:space="preserve">q7e1 </v>
      </c>
      <c r="Y41" s="24">
        <f t="shared" si="4"/>
        <v>3</v>
      </c>
    </row>
    <row r="42" spans="1:25" ht="12.75" x14ac:dyDescent="0.2">
      <c r="A42" s="11" t="s">
        <v>338</v>
      </c>
      <c r="B42" s="9">
        <v>77</v>
      </c>
      <c r="C42" s="9"/>
      <c r="D42" s="9" t="s">
        <v>61</v>
      </c>
      <c r="E42" s="9" t="s">
        <v>58</v>
      </c>
      <c r="F42" s="9">
        <v>7</v>
      </c>
      <c r="G42" s="9" t="s">
        <v>62</v>
      </c>
      <c r="H42" s="9" t="s">
        <v>65</v>
      </c>
      <c r="I42" s="9" t="s">
        <v>65</v>
      </c>
      <c r="J42" s="10"/>
      <c r="K42" s="1"/>
      <c r="L42" s="1"/>
      <c r="M42" s="2" t="str">
        <f t="shared" si="5"/>
        <v>Langfristige Zusammenarbeit</v>
      </c>
      <c r="N42" s="12"/>
      <c r="O42" s="12"/>
      <c r="P42" s="12">
        <f t="shared" ref="P42" si="12">P41</f>
        <v>5</v>
      </c>
      <c r="Q42" s="12"/>
      <c r="R42" s="12"/>
      <c r="S42" s="12" t="str">
        <f t="shared" si="0"/>
        <v xml:space="preserve">id screenout datum q1 q2_00 q2_01 q2_02 q2_03 q2_04 q2_05 q2_06 q2_07 q2_99 q3a q3b q3c q3d q3e q3f q3g q4 q6a q6b q6c q6d q6e q6f q6g q6h sel1 q7a1 q7a2 q7b1 q7b2 q7c1 q7c2 q7d1 q7d2 q7e1 q7e2 </v>
      </c>
      <c r="T42" s="24" t="b">
        <f>ISERROR(FIND(" "&amp;UPPER(IF($L42&lt;&gt;"",$L42,$A42))&amp;" ",#REF!))</f>
        <v>1</v>
      </c>
      <c r="U42" s="24"/>
      <c r="V42" s="24" t="str">
        <f t="shared" si="1"/>
        <v>q7e</v>
      </c>
      <c r="W42" s="24" t="str">
        <f t="shared" si="2"/>
        <v>q7e</v>
      </c>
      <c r="X42" s="24" t="str">
        <f t="shared" si="3"/>
        <v xml:space="preserve">q7e1 q7e2 </v>
      </c>
      <c r="Y42" s="24">
        <f t="shared" si="4"/>
        <v>3</v>
      </c>
    </row>
    <row r="43" spans="1:25" ht="12.75" x14ac:dyDescent="0.2">
      <c r="A43" s="11" t="s">
        <v>339</v>
      </c>
      <c r="B43" s="9">
        <v>78</v>
      </c>
      <c r="C43" s="9"/>
      <c r="D43" s="9" t="s">
        <v>61</v>
      </c>
      <c r="E43" s="9" t="s">
        <v>58</v>
      </c>
      <c r="F43" s="9">
        <v>6</v>
      </c>
      <c r="G43" s="9" t="s">
        <v>62</v>
      </c>
      <c r="H43" s="9" t="s">
        <v>65</v>
      </c>
      <c r="I43" s="9" t="s">
        <v>65</v>
      </c>
      <c r="J43" s="10"/>
      <c r="K43" s="1"/>
      <c r="L43" s="11" t="s">
        <v>343</v>
      </c>
      <c r="M43" s="2" t="str">
        <f t="shared" si="5"/>
        <v>Gute telefonische Erreichbarkeit</v>
      </c>
      <c r="N43" s="12"/>
      <c r="O43" s="12"/>
      <c r="P43" s="12">
        <f t="shared" ref="P43" si="13">P42+1</f>
        <v>6</v>
      </c>
      <c r="Q43" s="12"/>
      <c r="R43" s="12"/>
      <c r="S43" s="12" t="str">
        <f t="shared" si="0"/>
        <v xml:space="preserve">id screenout datum q1 q2_00 q2_01 q2_02 q2_03 q2_04 q2_05 q2_06 q2_07 q2_99 q3a q3b q3c q3d q3e q3f q3g q4 q6a q6b q6c q6d q6e q6f q6g q6h sel1 q7a1 q7a2 q7b1 q7b2 q7c1 q7c2 q7d1 q7d2 q7e1 q7e2 q7h1 </v>
      </c>
      <c r="T43" s="24" t="b">
        <f>ISERROR(FIND(" "&amp;UPPER(IF($L43&lt;&gt;"",$L43,$A43))&amp;" ",#REF!))</f>
        <v>1</v>
      </c>
      <c r="U43" s="24"/>
      <c r="V43" s="24" t="str">
        <f t="shared" si="1"/>
        <v/>
      </c>
      <c r="W43" s="24" t="str">
        <f t="shared" si="2"/>
        <v>q7h</v>
      </c>
      <c r="X43" s="24" t="str">
        <f t="shared" si="3"/>
        <v xml:space="preserve">q7h1 </v>
      </c>
      <c r="Y43" s="24">
        <f t="shared" si="4"/>
        <v>3</v>
      </c>
    </row>
    <row r="44" spans="1:25" ht="12.75" x14ac:dyDescent="0.2">
      <c r="A44" s="11" t="s">
        <v>340</v>
      </c>
      <c r="B44" s="9">
        <v>79</v>
      </c>
      <c r="C44" s="9"/>
      <c r="D44" s="9" t="s">
        <v>61</v>
      </c>
      <c r="E44" s="9" t="s">
        <v>58</v>
      </c>
      <c r="F44" s="9">
        <v>7</v>
      </c>
      <c r="G44" s="9" t="s">
        <v>62</v>
      </c>
      <c r="H44" s="9" t="s">
        <v>65</v>
      </c>
      <c r="I44" s="9" t="s">
        <v>65</v>
      </c>
      <c r="J44" s="10"/>
      <c r="K44" s="1"/>
      <c r="L44" s="11" t="s">
        <v>344</v>
      </c>
      <c r="M44" s="2" t="str">
        <f t="shared" si="5"/>
        <v>Gute telefonische Erreichbarkeit</v>
      </c>
      <c r="N44" s="12"/>
      <c r="O44" s="12"/>
      <c r="P44" s="12">
        <f t="shared" ref="P44" si="14">P43</f>
        <v>6</v>
      </c>
      <c r="Q44" s="12"/>
      <c r="R44" s="12"/>
      <c r="S44" s="12" t="str">
        <f t="shared" si="0"/>
        <v xml:space="preserve">id screenout datum q1 q2_00 q2_01 q2_02 q2_03 q2_04 q2_05 q2_06 q2_07 q2_99 q3a q3b q3c q3d q3e q3f q3g q4 q6a q6b q6c q6d q6e q6f q6g q6h sel1 q7a1 q7a2 q7b1 q7b2 q7c1 q7c2 q7d1 q7d2 q7e1 q7e2 q7h1 q7h2 </v>
      </c>
      <c r="T44" s="24" t="b">
        <f>ISERROR(FIND(" "&amp;UPPER(IF($L44&lt;&gt;"",$L44,$A44))&amp;" ",#REF!))</f>
        <v>1</v>
      </c>
      <c r="U44" s="24"/>
      <c r="V44" s="24" t="str">
        <f t="shared" si="1"/>
        <v>q7h</v>
      </c>
      <c r="W44" s="24" t="str">
        <f t="shared" si="2"/>
        <v>q7h</v>
      </c>
      <c r="X44" s="24" t="str">
        <f t="shared" si="3"/>
        <v xml:space="preserve">q7h1 q7h2 </v>
      </c>
      <c r="Y44" s="24">
        <f t="shared" si="4"/>
        <v>3</v>
      </c>
    </row>
    <row r="45" spans="1:25" ht="12.75" x14ac:dyDescent="0.2">
      <c r="A45" s="11" t="s">
        <v>341</v>
      </c>
      <c r="B45" s="9">
        <v>80</v>
      </c>
      <c r="C45" s="9"/>
      <c r="D45" s="9" t="s">
        <v>61</v>
      </c>
      <c r="E45" s="9" t="s">
        <v>58</v>
      </c>
      <c r="F45" s="9">
        <v>6</v>
      </c>
      <c r="G45" s="9" t="s">
        <v>62</v>
      </c>
      <c r="H45" s="9" t="s">
        <v>65</v>
      </c>
      <c r="I45" s="9" t="s">
        <v>65</v>
      </c>
      <c r="J45" s="10"/>
      <c r="K45" s="1"/>
      <c r="L45" s="11" t="s">
        <v>339</v>
      </c>
      <c r="M45" s="2" t="str">
        <f t="shared" si="5"/>
        <v>Wochenenderreichbarkeit</v>
      </c>
      <c r="N45" s="12"/>
      <c r="O45" s="12"/>
      <c r="P45" s="12">
        <f t="shared" ref="P45" si="15">P44+1</f>
        <v>7</v>
      </c>
      <c r="Q45" s="12"/>
      <c r="R45" s="12"/>
      <c r="S45" s="12" t="str">
        <f t="shared" si="0"/>
        <v xml:space="preserve">id screenout datum q1 q2_00 q2_01 q2_02 q2_03 q2_04 q2_05 q2_06 q2_07 q2_99 q3a q3b q3c q3d q3e q3f q3g q4 q6a q6b q6c q6d q6e q6f q6g q6h sel1 q7a1 q7a2 q7b1 q7b2 q7c1 q7c2 q7d1 q7d2 q7e1 q7e2 q7h1 q7h2 q7f1 </v>
      </c>
      <c r="T45" s="24" t="b">
        <f>ISERROR(FIND(" "&amp;UPPER(IF($L45&lt;&gt;"",$L45,$A45))&amp;" ",#REF!))</f>
        <v>1</v>
      </c>
      <c r="U45" s="24"/>
      <c r="V45" s="24" t="str">
        <f t="shared" si="1"/>
        <v/>
      </c>
      <c r="W45" s="24" t="str">
        <f t="shared" si="2"/>
        <v>q7f</v>
      </c>
      <c r="X45" s="24" t="str">
        <f t="shared" si="3"/>
        <v xml:space="preserve">q7f1 </v>
      </c>
      <c r="Y45" s="24">
        <f t="shared" si="4"/>
        <v>3</v>
      </c>
    </row>
    <row r="46" spans="1:25" ht="12.75" x14ac:dyDescent="0.2">
      <c r="A46" s="11" t="s">
        <v>342</v>
      </c>
      <c r="B46" s="9">
        <v>81</v>
      </c>
      <c r="C46" s="9"/>
      <c r="D46" s="9" t="s">
        <v>61</v>
      </c>
      <c r="E46" s="9" t="s">
        <v>58</v>
      </c>
      <c r="F46" s="9">
        <v>7</v>
      </c>
      <c r="G46" s="9" t="s">
        <v>62</v>
      </c>
      <c r="H46" s="9" t="s">
        <v>65</v>
      </c>
      <c r="I46" s="9" t="s">
        <v>65</v>
      </c>
      <c r="J46" s="10"/>
      <c r="K46" s="1"/>
      <c r="L46" s="11" t="s">
        <v>340</v>
      </c>
      <c r="M46" s="2" t="str">
        <f t="shared" si="5"/>
        <v>Wochenenderreichbarkeit</v>
      </c>
      <c r="N46" s="12"/>
      <c r="O46" s="12"/>
      <c r="P46" s="12">
        <f t="shared" ref="P46" si="16">P45</f>
        <v>7</v>
      </c>
      <c r="Q46" s="12"/>
      <c r="R46" s="12"/>
      <c r="S46" s="12" t="str">
        <f t="shared" si="0"/>
        <v xml:space="preserve">id screenout datum q1 q2_00 q2_01 q2_02 q2_03 q2_04 q2_05 q2_06 q2_07 q2_99 q3a q3b q3c q3d q3e q3f q3g q4 q6a q6b q6c q6d q6e q6f q6g q6h sel1 q7a1 q7a2 q7b1 q7b2 q7c1 q7c2 q7d1 q7d2 q7e1 q7e2 q7h1 q7h2 q7f1 q7f2 </v>
      </c>
      <c r="T46" s="24" t="b">
        <f>ISERROR(FIND(" "&amp;UPPER(IF($L46&lt;&gt;"",$L46,$A46))&amp;" ",#REF!))</f>
        <v>1</v>
      </c>
      <c r="U46" s="24"/>
      <c r="V46" s="24" t="str">
        <f t="shared" si="1"/>
        <v>q7f</v>
      </c>
      <c r="W46" s="24" t="str">
        <f t="shared" si="2"/>
        <v>q7f</v>
      </c>
      <c r="X46" s="24" t="str">
        <f t="shared" si="3"/>
        <v xml:space="preserve">q7f1 q7f2 </v>
      </c>
      <c r="Y46" s="24">
        <f t="shared" si="4"/>
        <v>3</v>
      </c>
    </row>
    <row r="47" spans="1:25" ht="12.75" x14ac:dyDescent="0.2">
      <c r="A47" s="11" t="s">
        <v>343</v>
      </c>
      <c r="B47" s="9">
        <v>82</v>
      </c>
      <c r="C47" s="9"/>
      <c r="D47" s="9" t="s">
        <v>61</v>
      </c>
      <c r="E47" s="9" t="s">
        <v>58</v>
      </c>
      <c r="F47" s="9">
        <v>6</v>
      </c>
      <c r="G47" s="9" t="s">
        <v>62</v>
      </c>
      <c r="H47" s="9" t="s">
        <v>65</v>
      </c>
      <c r="I47" s="9" t="s">
        <v>65</v>
      </c>
      <c r="J47" s="10"/>
      <c r="K47" s="1"/>
      <c r="L47" s="11" t="s">
        <v>341</v>
      </c>
      <c r="M47" s="2" t="str">
        <f t="shared" si="5"/>
        <v>Einhaltung von Zusagen</v>
      </c>
      <c r="N47" s="12"/>
      <c r="O47" s="12"/>
      <c r="P47" s="12">
        <f t="shared" ref="P47" si="17">P46+1</f>
        <v>8</v>
      </c>
      <c r="Q47" s="12"/>
      <c r="R47" s="12"/>
      <c r="S47" s="12" t="str">
        <f t="shared" si="0"/>
        <v xml:space="preserve">id screenout datum q1 q2_00 q2_01 q2_02 q2_03 q2_04 q2_05 q2_06 q2_07 q2_99 q3a q3b q3c q3d q3e q3f q3g q4 q6a q6b q6c q6d q6e q6f q6g q6h sel1 q7a1 q7a2 q7b1 q7b2 q7c1 q7c2 q7d1 q7d2 q7e1 q7e2 q7h1 q7h2 q7f1 q7f2 q7g1 </v>
      </c>
      <c r="T47" s="24" t="b">
        <f>ISERROR(FIND(" "&amp;UPPER(IF($L47&lt;&gt;"",$L47,$A47))&amp;" ",#REF!))</f>
        <v>1</v>
      </c>
      <c r="U47" s="24"/>
      <c r="V47" s="24" t="str">
        <f t="shared" si="1"/>
        <v/>
      </c>
      <c r="W47" s="24" t="str">
        <f t="shared" si="2"/>
        <v>q7g</v>
      </c>
      <c r="X47" s="24" t="str">
        <f t="shared" si="3"/>
        <v xml:space="preserve">q7g1 </v>
      </c>
      <c r="Y47" s="24">
        <f t="shared" si="4"/>
        <v>3</v>
      </c>
    </row>
    <row r="48" spans="1:25" ht="12.75" x14ac:dyDescent="0.2">
      <c r="A48" s="11" t="s">
        <v>344</v>
      </c>
      <c r="B48" s="9">
        <v>83</v>
      </c>
      <c r="C48" s="9"/>
      <c r="D48" s="9" t="s">
        <v>61</v>
      </c>
      <c r="E48" s="9" t="s">
        <v>58</v>
      </c>
      <c r="F48" s="9">
        <v>7</v>
      </c>
      <c r="G48" s="9" t="s">
        <v>62</v>
      </c>
      <c r="H48" s="9" t="s">
        <v>65</v>
      </c>
      <c r="I48" s="9" t="s">
        <v>65</v>
      </c>
      <c r="J48" s="10"/>
      <c r="K48" s="1"/>
      <c r="L48" s="11" t="s">
        <v>342</v>
      </c>
      <c r="M48" s="2" t="str">
        <f t="shared" si="5"/>
        <v>Einhaltung von Zusagen</v>
      </c>
      <c r="N48" s="12"/>
      <c r="O48" s="12"/>
      <c r="P48" s="12">
        <f t="shared" ref="P48" si="18">P47</f>
        <v>8</v>
      </c>
      <c r="Q48" s="12"/>
      <c r="R48" s="12"/>
      <c r="S48" s="12" t="str">
        <f t="shared" si="0"/>
        <v xml:space="preserve">id screenout datum q1 q2_00 q2_01 q2_02 q2_03 q2_04 q2_05 q2_06 q2_07 q2_99 q3a q3b q3c q3d q3e q3f q3g q4 q6a q6b q6c q6d q6e q6f q6g q6h sel1 q7a1 q7a2 q7b1 q7b2 q7c1 q7c2 q7d1 q7d2 q7e1 q7e2 q7h1 q7h2 q7f1 q7f2 q7g1 q7g2 </v>
      </c>
      <c r="T48" s="24" t="b">
        <f>ISERROR(FIND(" "&amp;UPPER(IF($L48&lt;&gt;"",$L48,$A48))&amp;" ",#REF!))</f>
        <v>1</v>
      </c>
      <c r="U48" s="24"/>
      <c r="V48" s="24" t="str">
        <f t="shared" si="1"/>
        <v>q7g</v>
      </c>
      <c r="W48" s="24" t="str">
        <f t="shared" si="2"/>
        <v>q7g</v>
      </c>
      <c r="X48" s="24" t="str">
        <f t="shared" si="3"/>
        <v xml:space="preserve">q7g1 q7g2 </v>
      </c>
      <c r="Y48" s="24">
        <f t="shared" si="4"/>
        <v>3</v>
      </c>
    </row>
    <row r="49" spans="1:25" ht="12.75" x14ac:dyDescent="0.2">
      <c r="A49" s="11" t="s">
        <v>155</v>
      </c>
      <c r="B49" s="9">
        <v>129</v>
      </c>
      <c r="C49" s="9"/>
      <c r="D49" s="9" t="s">
        <v>61</v>
      </c>
      <c r="E49" s="9" t="s">
        <v>58</v>
      </c>
      <c r="F49" s="9">
        <v>5</v>
      </c>
      <c r="G49" s="9" t="s">
        <v>62</v>
      </c>
      <c r="H49" s="9" t="s">
        <v>65</v>
      </c>
      <c r="I49" s="9" t="s">
        <v>65</v>
      </c>
      <c r="J49" s="10"/>
      <c r="K49" s="1"/>
      <c r="L49" s="1"/>
      <c r="M49" s="2"/>
      <c r="N49" s="12"/>
      <c r="O49" s="12"/>
      <c r="P49" s="12"/>
      <c r="Q49" s="12"/>
      <c r="R49" s="12"/>
      <c r="S49" s="12" t="str">
        <f t="shared" si="0"/>
        <v xml:space="preserve">id screenout datum q1 q2_00 q2_01 q2_02 q2_03 q2_04 q2_05 q2_06 q2_07 q2_99 q3a q3b q3c q3d q3e q3f q3g q4 q6a q6b q6c q6d q6e q6f q6g q6h sel1 q7a1 q7a2 q7b1 q7b2 q7c1 q7c2 q7d1 q7d2 q7e1 q7e2 q7h1 q7h2 q7f1 q7f2 q7g1 q7g2 q81 </v>
      </c>
      <c r="T49" s="24" t="b">
        <f>ISERROR(FIND(" "&amp;UPPER(IF($L49&lt;&gt;"",$L49,$A49))&amp;" ",#REF!))</f>
        <v>1</v>
      </c>
      <c r="U49" s="24"/>
      <c r="V49" s="24" t="str">
        <f t="shared" si="1"/>
        <v>q81</v>
      </c>
      <c r="W49" s="24" t="str">
        <f t="shared" si="2"/>
        <v>q81</v>
      </c>
      <c r="X49" s="24" t="str">
        <f t="shared" si="3"/>
        <v xml:space="preserve">q81 </v>
      </c>
      <c r="Y49" s="24">
        <f t="shared" si="4"/>
        <v>3</v>
      </c>
    </row>
    <row r="50" spans="1:25" ht="12.75" x14ac:dyDescent="0.2">
      <c r="A50" s="11" t="s">
        <v>156</v>
      </c>
      <c r="B50" s="9">
        <v>130</v>
      </c>
      <c r="C50" s="11"/>
      <c r="D50" s="9" t="s">
        <v>61</v>
      </c>
      <c r="E50" s="9" t="s">
        <v>58</v>
      </c>
      <c r="F50" s="9">
        <v>6</v>
      </c>
      <c r="G50" s="9" t="s">
        <v>62</v>
      </c>
      <c r="H50" s="9" t="s">
        <v>65</v>
      </c>
      <c r="I50" s="9" t="s">
        <v>65</v>
      </c>
      <c r="J50" s="10"/>
      <c r="K50" s="1"/>
      <c r="L50" s="1"/>
      <c r="M50" s="2"/>
      <c r="N50" s="12"/>
      <c r="O50" s="12"/>
      <c r="P50" s="12"/>
      <c r="Q50" s="12"/>
      <c r="R50" s="12"/>
      <c r="S50" s="12" t="str">
        <f t="shared" si="0"/>
        <v xml:space="preserve">id screenout datum q1 q2_00 q2_01 q2_02 q2_03 q2_04 q2_05 q2_06 q2_07 q2_99 q3a q3b q3c q3d q3e q3f q3g q4 q6a q6b q6c q6d q6e q6f q6g q6h sel1 q7a1 q7a2 q7b1 q7b2 q7c1 q7c2 q7d1 q7d2 q7e1 q7e2 q7h1 q7h2 q7f1 q7f2 q7g1 q7g2 q81 q82 </v>
      </c>
      <c r="T50" s="24" t="b">
        <f>ISERROR(FIND(" "&amp;UPPER(IF($L50&lt;&gt;"",$L50,$A50))&amp;" ",#REF!))</f>
        <v>1</v>
      </c>
      <c r="U50" s="24"/>
      <c r="V50" s="24" t="str">
        <f t="shared" si="1"/>
        <v>q82</v>
      </c>
      <c r="W50" s="24" t="str">
        <f t="shared" si="2"/>
        <v>q82</v>
      </c>
      <c r="X50" s="24" t="str">
        <f t="shared" si="3"/>
        <v xml:space="preserve">q82 </v>
      </c>
      <c r="Y50" s="24">
        <f t="shared" si="4"/>
        <v>3</v>
      </c>
    </row>
    <row r="51" spans="1:25" ht="12.75" x14ac:dyDescent="0.2">
      <c r="A51" s="11" t="s">
        <v>327</v>
      </c>
      <c r="B51" s="9">
        <v>131</v>
      </c>
      <c r="C51" s="9"/>
      <c r="D51" s="9" t="s">
        <v>61</v>
      </c>
      <c r="E51" s="9" t="s">
        <v>58</v>
      </c>
      <c r="F51" s="9">
        <v>5</v>
      </c>
      <c r="G51" s="9" t="s">
        <v>62</v>
      </c>
      <c r="H51" s="9" t="s">
        <v>65</v>
      </c>
      <c r="I51" s="9" t="s">
        <v>65</v>
      </c>
      <c r="J51" s="10"/>
      <c r="K51" s="1"/>
      <c r="L51" s="1"/>
      <c r="M51" s="2"/>
      <c r="N51" s="12"/>
      <c r="O51" s="12"/>
      <c r="P51" s="12"/>
      <c r="Q51" s="12"/>
      <c r="R51" s="12"/>
      <c r="S51" s="12" t="str">
        <f t="shared" si="0"/>
        <v xml:space="preserve">id screenout datum q1 q2_00 q2_01 q2_02 q2_03 q2_04 q2_05 q2_06 q2_07 q2_99 q3a q3b q3c q3d q3e q3f q3g q4 q6a q6b q6c q6d q6e q6f q6g q6h sel1 q7a1 q7a2 q7b1 q7b2 q7c1 q7c2 q7d1 q7d2 q7e1 q7e2 q7h1 q7h2 q7f1 q7f2 q7g1 q7g2 q81 q82 q91 </v>
      </c>
      <c r="T51" s="24" t="b">
        <f>ISERROR(FIND(" "&amp;UPPER(IF($L51&lt;&gt;"",$L51,$A51))&amp;" ",#REF!))</f>
        <v>1</v>
      </c>
      <c r="U51" s="24"/>
      <c r="V51" s="24" t="str">
        <f t="shared" si="1"/>
        <v>q91</v>
      </c>
      <c r="W51" s="24" t="str">
        <f t="shared" si="2"/>
        <v>q91</v>
      </c>
      <c r="X51" s="24" t="str">
        <f t="shared" si="3"/>
        <v xml:space="preserve">q91 </v>
      </c>
      <c r="Y51" s="24">
        <f t="shared" si="4"/>
        <v>3</v>
      </c>
    </row>
    <row r="52" spans="1:25" ht="12.75" x14ac:dyDescent="0.2">
      <c r="A52" s="11" t="s">
        <v>328</v>
      </c>
      <c r="B52" s="9">
        <v>132</v>
      </c>
      <c r="C52" s="9"/>
      <c r="D52" s="9" t="s">
        <v>61</v>
      </c>
      <c r="E52" s="9" t="s">
        <v>58</v>
      </c>
      <c r="F52" s="9">
        <v>6</v>
      </c>
      <c r="G52" s="9" t="s">
        <v>62</v>
      </c>
      <c r="H52" s="9" t="s">
        <v>65</v>
      </c>
      <c r="I52" s="9" t="s">
        <v>65</v>
      </c>
      <c r="J52" s="10"/>
      <c r="K52" s="1"/>
      <c r="L52" s="1"/>
      <c r="M52" s="2"/>
      <c r="N52" s="12"/>
      <c r="O52" s="12"/>
      <c r="P52" s="12"/>
      <c r="Q52" s="12"/>
      <c r="R52" s="12"/>
      <c r="S52" s="12" t="str">
        <f t="shared" si="0"/>
        <v xml:space="preserve">id screenout datum q1 q2_00 q2_01 q2_02 q2_03 q2_04 q2_05 q2_06 q2_07 q2_99 q3a q3b q3c q3d q3e q3f q3g q4 q6a q6b q6c q6d q6e q6f q6g q6h sel1 q7a1 q7a2 q7b1 q7b2 q7c1 q7c2 q7d1 q7d2 q7e1 q7e2 q7h1 q7h2 q7f1 q7f2 q7g1 q7g2 q81 q82 q91 q92 </v>
      </c>
      <c r="T52" s="24" t="b">
        <f>ISERROR(FIND(" "&amp;UPPER(IF($L52&lt;&gt;"",$L52,$A52))&amp;" ",#REF!))</f>
        <v>1</v>
      </c>
      <c r="U52" s="24"/>
      <c r="V52" s="24" t="str">
        <f t="shared" si="1"/>
        <v>q92</v>
      </c>
      <c r="W52" s="24" t="str">
        <f t="shared" si="2"/>
        <v>q92</v>
      </c>
      <c r="X52" s="24" t="str">
        <f t="shared" si="3"/>
        <v xml:space="preserve">q92 </v>
      </c>
      <c r="Y52" s="24">
        <f t="shared" si="4"/>
        <v>3</v>
      </c>
    </row>
    <row r="53" spans="1:25" ht="12.75" x14ac:dyDescent="0.2">
      <c r="A53" s="11" t="s">
        <v>291</v>
      </c>
      <c r="B53" s="9">
        <v>142</v>
      </c>
      <c r="C53" s="9"/>
      <c r="D53" s="9" t="s">
        <v>61</v>
      </c>
      <c r="E53" s="9" t="s">
        <v>58</v>
      </c>
      <c r="F53" s="9">
        <v>5</v>
      </c>
      <c r="G53" s="9" t="s">
        <v>62</v>
      </c>
      <c r="H53" s="9" t="s">
        <v>65</v>
      </c>
      <c r="I53" s="9" t="s">
        <v>65</v>
      </c>
      <c r="J53" s="10"/>
      <c r="K53" s="1"/>
      <c r="L53" s="1"/>
      <c r="M53" s="1"/>
      <c r="N53" s="12"/>
      <c r="O53" s="12"/>
      <c r="P53" s="12"/>
      <c r="Q53" s="12"/>
      <c r="R53" s="12"/>
      <c r="S53" s="12" t="str">
        <f t="shared" si="0"/>
        <v xml:space="preserve">id screenout datum q1 q2_00 q2_01 q2_02 q2_03 q2_04 q2_05 q2_06 q2_07 q2_99 q3a q3b q3c q3d q3e q3f q3g q4 q6a q6b q6c q6d q6e q6f q6g q6h sel1 q7a1 q7a2 q7b1 q7b2 q7c1 q7c2 q7d1 q7d2 q7e1 q7e2 q7h1 q7h2 q7f1 q7f2 q7g1 q7g2 q81 q82 q91 q92 q10 </v>
      </c>
      <c r="T53" s="24" t="b">
        <f>ISERROR(FIND(" "&amp;UPPER(IF($L53&lt;&gt;"",$L53,$A53))&amp;" ",#REF!))</f>
        <v>1</v>
      </c>
      <c r="U53" s="24"/>
      <c r="V53" s="24" t="str">
        <f t="shared" si="1"/>
        <v>q10</v>
      </c>
      <c r="W53" s="24" t="str">
        <f t="shared" si="2"/>
        <v>q10</v>
      </c>
      <c r="X53" s="24" t="str">
        <f t="shared" si="3"/>
        <v xml:space="preserve">q10 </v>
      </c>
      <c r="Y53" s="24">
        <f t="shared" si="4"/>
        <v>3</v>
      </c>
    </row>
    <row r="54" spans="1:25" ht="12.75" x14ac:dyDescent="0.2">
      <c r="A54" s="11" t="s">
        <v>122</v>
      </c>
      <c r="B54" s="9">
        <v>149</v>
      </c>
      <c r="C54" s="9" t="s">
        <v>56</v>
      </c>
      <c r="D54" s="9" t="s">
        <v>93</v>
      </c>
      <c r="E54" s="9" t="s">
        <v>58</v>
      </c>
      <c r="F54" s="9">
        <v>10</v>
      </c>
      <c r="G54" s="9" t="s">
        <v>62</v>
      </c>
      <c r="H54" s="9" t="s">
        <v>94</v>
      </c>
      <c r="I54" s="9" t="s">
        <v>94</v>
      </c>
      <c r="J54" s="10"/>
      <c r="K54" s="1"/>
      <c r="L54" s="1"/>
      <c r="M54" s="1"/>
      <c r="N54" s="12"/>
      <c r="O54" s="12"/>
      <c r="P54" s="12"/>
      <c r="Q54" s="12"/>
      <c r="R54" s="12"/>
      <c r="S54" s="12" t="str">
        <f t="shared" si="0"/>
        <v xml:space="preserve">id screenout datum q1 q2_00 q2_01 q2_02 q2_03 q2_04 q2_05 q2_06 q2_07 q2_99 q3a q3b q3c q3d q3e q3f q3g q4 q6a q6b q6c q6d q6e q6f q6g q6h sel1 q7a1 q7a2 q7b1 q7b2 q7c1 q7c2 q7d1 q7d2 q7e1 q7e2 q7h1 q7h2 q7f1 q7f2 q7g1 q7g2 q81 q82 q91 q92 q10 regio </v>
      </c>
      <c r="T54" s="24" t="b">
        <f>ISERROR(FIND(" "&amp;UPPER(IF($L54&lt;&gt;"",$L54,$A54))&amp;" ",#REF!))</f>
        <v>1</v>
      </c>
      <c r="U54" s="24"/>
      <c r="V54" s="24" t="e">
        <f>IF(W54&lt;&gt;#REF!,W54,"")</f>
        <v>#REF!</v>
      </c>
      <c r="W54" s="24" t="str">
        <f t="shared" si="2"/>
        <v>reg</v>
      </c>
      <c r="X54" s="24" t="str">
        <f t="shared" si="3"/>
        <v xml:space="preserve">regio </v>
      </c>
      <c r="Y54" s="24">
        <f t="shared" si="4"/>
        <v>3</v>
      </c>
    </row>
  </sheetData>
  <phoneticPr fontId="2" type="noConversion"/>
  <conditionalFormatting sqref="A1:A54">
    <cfRule type="expression" dxfId="5" priority="10">
      <formula>LEFT(H1,1)="A"</formula>
    </cfRule>
  </conditionalFormatting>
  <conditionalFormatting sqref="A1:A54">
    <cfRule type="expression" dxfId="4" priority="11">
      <formula>$T1</formula>
    </cfRule>
  </conditionalFormatting>
  <conditionalFormatting sqref="L45:L48">
    <cfRule type="expression" dxfId="3" priority="3">
      <formula>LEFT(S45,1)="A"</formula>
    </cfRule>
  </conditionalFormatting>
  <conditionalFormatting sqref="L45:L48">
    <cfRule type="expression" dxfId="2" priority="4">
      <formula>$T45</formula>
    </cfRule>
  </conditionalFormatting>
  <conditionalFormatting sqref="L43:L44">
    <cfRule type="expression" dxfId="1" priority="1">
      <formula>LEFT(S43,1)="A"</formula>
    </cfRule>
  </conditionalFormatting>
  <conditionalFormatting sqref="L43:L44">
    <cfRule type="expression" dxfId="0" priority="2">
      <formula>$T43</formula>
    </cfRule>
  </conditionalFormatting>
  <pageMargins left="0.78740157499999996" right="0.78740157499999996" top="0.984251969" bottom="0.984251969" header="0.4921259845" footer="0.4921259845"/>
  <pageSetup paperSize="9"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0"/>
  <dimension ref="A1:K354"/>
  <sheetViews>
    <sheetView zoomScaleNormal="100" zoomScaleSheetLayoutView="80" workbookViewId="0">
      <pane xSplit="3" ySplit="2" topLeftCell="D3" activePane="bottomRight" state="frozen"/>
      <selection pane="topRight" activeCell="D1" sqref="D1"/>
      <selection pane="bottomLeft" activeCell="A3" sqref="A3"/>
      <selection pane="bottomRight" activeCell="D10" sqref="D10"/>
    </sheetView>
  </sheetViews>
  <sheetFormatPr baseColWidth="10" defaultColWidth="11.42578125" defaultRowHeight="12.75" x14ac:dyDescent="0.2"/>
  <cols>
    <col min="1" max="3" width="11.42578125" style="7"/>
    <col min="4" max="4" width="44.7109375" style="6" customWidth="1"/>
    <col min="5" max="5" width="13.85546875" style="6" customWidth="1"/>
    <col min="6" max="6" width="12.28515625" style="6" customWidth="1"/>
    <col min="7" max="7" width="20.7109375" style="6" customWidth="1"/>
    <col min="8" max="16384" width="11.42578125" style="6"/>
  </cols>
  <sheetData>
    <row r="1" spans="1:11" s="3" customFormat="1" ht="15.75" customHeight="1" x14ac:dyDescent="0.2">
      <c r="A1" s="29" t="s">
        <v>32</v>
      </c>
      <c r="B1" s="28"/>
      <c r="C1" s="28"/>
      <c r="E1" s="4" t="s">
        <v>42</v>
      </c>
      <c r="F1" s="25" t="b">
        <v>1</v>
      </c>
      <c r="G1" s="4" t="s">
        <v>38</v>
      </c>
      <c r="J1" s="34" t="s">
        <v>52</v>
      </c>
    </row>
    <row r="2" spans="1:11" s="4" customFormat="1" ht="12" x14ac:dyDescent="0.2">
      <c r="A2" s="29" t="s">
        <v>33</v>
      </c>
      <c r="B2" s="27"/>
      <c r="C2" s="27" t="s">
        <v>1</v>
      </c>
      <c r="D2" s="4" t="s">
        <v>37</v>
      </c>
      <c r="E2" s="4" t="s">
        <v>43</v>
      </c>
      <c r="F2" s="4" t="s">
        <v>44</v>
      </c>
      <c r="G2" s="4" t="s">
        <v>39</v>
      </c>
      <c r="H2" s="4" t="s">
        <v>33</v>
      </c>
      <c r="I2" s="4" t="s">
        <v>40</v>
      </c>
      <c r="J2" s="34"/>
      <c r="K2" s="4" t="s">
        <v>45</v>
      </c>
    </row>
    <row r="3" spans="1:11" customFormat="1" x14ac:dyDescent="0.2">
      <c r="A3" s="11" t="s">
        <v>64</v>
      </c>
      <c r="B3" s="11">
        <v>-2</v>
      </c>
      <c r="C3" s="11"/>
      <c r="D3" s="21"/>
      <c r="E3" s="5" t="str">
        <f t="shared" ref="E3:E34" si="0">IF(A3&lt;&gt;"",IF(V_LabelvorVariablen=TRUE,A3,IF(VLOOKUP(A3,V_VariablenEigenschaften,12,FALSE)="",A3,VLOOKUP(A3,V_VariablenEigenschaften,12,FALSE))),E2)</f>
        <v>q1</v>
      </c>
      <c r="F3" s="5">
        <f t="shared" ref="F3:F66" si="1">LEN(C3)</f>
        <v>0</v>
      </c>
      <c r="G3" s="13"/>
      <c r="H3" s="13"/>
      <c r="I3" s="13"/>
      <c r="J3" s="13"/>
      <c r="K3" s="13">
        <f>IF(A3&lt;&gt;"",VLOOKUP(A3,Variables!$A:$C,3,FALSE),"")</f>
        <v>0</v>
      </c>
    </row>
    <row r="4" spans="1:11" customFormat="1" x14ac:dyDescent="0.2">
      <c r="A4" s="11"/>
      <c r="B4" s="11">
        <v>1</v>
      </c>
      <c r="C4" s="11"/>
      <c r="D4" s="21"/>
      <c r="E4" s="5" t="str">
        <f t="shared" si="0"/>
        <v>q1</v>
      </c>
      <c r="F4" s="5">
        <f t="shared" si="1"/>
        <v>0</v>
      </c>
      <c r="G4" s="13"/>
      <c r="H4" s="13"/>
      <c r="I4" s="13"/>
      <c r="J4" s="13"/>
      <c r="K4" s="13" t="str">
        <f>IF(A4&lt;&gt;"",VLOOKUP(A4,Variables!$A:$C,3,FALSE),"")</f>
        <v/>
      </c>
    </row>
    <row r="5" spans="1:11" customFormat="1" x14ac:dyDescent="0.2">
      <c r="A5" s="11"/>
      <c r="B5" s="11">
        <v>2</v>
      </c>
      <c r="C5" s="11"/>
      <c r="D5" s="21"/>
      <c r="E5" s="5" t="str">
        <f t="shared" si="0"/>
        <v>q1</v>
      </c>
      <c r="F5" s="5">
        <f t="shared" si="1"/>
        <v>0</v>
      </c>
      <c r="G5" s="13"/>
      <c r="H5" s="13"/>
      <c r="I5" s="13"/>
      <c r="J5" s="13"/>
      <c r="K5" s="13" t="str">
        <f>IF(A5&lt;&gt;"",VLOOKUP(A5,Variables!$A:$C,3,FALSE),"")</f>
        <v/>
      </c>
    </row>
    <row r="6" spans="1:11" customFormat="1" x14ac:dyDescent="0.2">
      <c r="A6" s="11"/>
      <c r="B6" s="11">
        <v>3</v>
      </c>
      <c r="C6" s="11"/>
      <c r="D6" s="21"/>
      <c r="E6" s="5" t="str">
        <f t="shared" si="0"/>
        <v>q1</v>
      </c>
      <c r="F6" s="5">
        <f t="shared" si="1"/>
        <v>0</v>
      </c>
      <c r="G6" s="13"/>
      <c r="H6" s="13"/>
      <c r="I6" s="13"/>
      <c r="J6" s="13"/>
      <c r="K6" s="13" t="str">
        <f>IF(A6&lt;&gt;"",VLOOKUP(A6,Variables!$A:$C,3,FALSE),"")</f>
        <v/>
      </c>
    </row>
    <row r="7" spans="1:11" customFormat="1" x14ac:dyDescent="0.2">
      <c r="A7" s="11"/>
      <c r="B7" s="11">
        <v>4</v>
      </c>
      <c r="C7" s="11"/>
      <c r="D7" s="21"/>
      <c r="E7" s="5" t="str">
        <f t="shared" si="0"/>
        <v>q1</v>
      </c>
      <c r="F7" s="5">
        <f t="shared" si="1"/>
        <v>0</v>
      </c>
      <c r="G7" s="13"/>
      <c r="H7" s="13"/>
      <c r="I7" s="13"/>
      <c r="J7" s="13"/>
      <c r="K7" s="13" t="str">
        <f>IF(A7&lt;&gt;"",VLOOKUP(A7,Variables!$A:$C,3,FALSE),"")</f>
        <v/>
      </c>
    </row>
    <row r="8" spans="1:11" customFormat="1" ht="12.75" customHeight="1" x14ac:dyDescent="0.2">
      <c r="A8" s="11"/>
      <c r="B8" s="26">
        <v>5</v>
      </c>
      <c r="C8" s="11"/>
      <c r="D8" s="21"/>
      <c r="E8" s="5" t="str">
        <f t="shared" si="0"/>
        <v>q1</v>
      </c>
      <c r="F8" s="5">
        <f t="shared" si="1"/>
        <v>0</v>
      </c>
      <c r="G8" s="13"/>
      <c r="H8" s="13"/>
      <c r="I8" s="13"/>
      <c r="J8" s="13"/>
      <c r="K8" s="13" t="str">
        <f>IF(A8&lt;&gt;"",VLOOKUP(A8,Variables!$A:$C,3,FALSE),"")</f>
        <v/>
      </c>
    </row>
    <row r="9" spans="1:11" customFormat="1" x14ac:dyDescent="0.2">
      <c r="A9" s="11"/>
      <c r="B9" s="11">
        <v>99</v>
      </c>
      <c r="C9" s="11"/>
      <c r="D9" s="21"/>
      <c r="E9" s="5" t="str">
        <f t="shared" si="0"/>
        <v>q1</v>
      </c>
      <c r="F9" s="5">
        <f t="shared" si="1"/>
        <v>0</v>
      </c>
      <c r="G9" s="13"/>
      <c r="H9" s="13"/>
      <c r="I9" s="13"/>
      <c r="J9" s="13"/>
      <c r="K9" s="13" t="str">
        <f>IF(A9&lt;&gt;"",VLOOKUP(A9,Variables!$A:$C,3,FALSE),"")</f>
        <v/>
      </c>
    </row>
    <row r="10" spans="1:11" customFormat="1" x14ac:dyDescent="0.2">
      <c r="A10" s="11" t="s">
        <v>139</v>
      </c>
      <c r="B10" s="11">
        <v>0</v>
      </c>
      <c r="C10" s="11"/>
      <c r="D10" s="21"/>
      <c r="E10" s="5" t="str">
        <f t="shared" si="0"/>
        <v>q2_00</v>
      </c>
      <c r="F10" s="5">
        <f t="shared" si="1"/>
        <v>0</v>
      </c>
      <c r="G10" s="13"/>
      <c r="H10" s="13"/>
      <c r="I10" s="13"/>
      <c r="J10" s="13"/>
      <c r="K10" s="13">
        <f>IF(A10&lt;&gt;"",VLOOKUP(A10,Variables!$A:$C,3,FALSE),"")</f>
        <v>0</v>
      </c>
    </row>
    <row r="11" spans="1:11" customFormat="1" x14ac:dyDescent="0.2">
      <c r="A11" s="11" t="s">
        <v>125</v>
      </c>
      <c r="B11" s="11">
        <v>1</v>
      </c>
      <c r="C11" s="11"/>
      <c r="D11" s="21"/>
      <c r="E11" s="5" t="str">
        <f t="shared" si="0"/>
        <v>q2_00</v>
      </c>
      <c r="F11" s="5">
        <f t="shared" si="1"/>
        <v>0</v>
      </c>
      <c r="G11" s="13"/>
      <c r="H11" s="13"/>
      <c r="I11" s="13"/>
      <c r="J11" s="13"/>
      <c r="K11" s="13" t="str">
        <f>IF(A11&lt;&gt;"",VLOOKUP(A11,Variables!$A:$C,3,FALSE),"")</f>
        <v/>
      </c>
    </row>
    <row r="12" spans="1:11" customFormat="1" ht="12.75" customHeight="1" x14ac:dyDescent="0.2">
      <c r="A12" s="11" t="s">
        <v>140</v>
      </c>
      <c r="B12" s="11">
        <v>0</v>
      </c>
      <c r="C12" s="11"/>
      <c r="D12" s="21"/>
      <c r="E12" s="5" t="str">
        <f t="shared" si="0"/>
        <v>q2_01</v>
      </c>
      <c r="F12" s="5">
        <f t="shared" si="1"/>
        <v>0</v>
      </c>
      <c r="G12" s="13"/>
      <c r="H12" s="13"/>
      <c r="I12" s="13"/>
      <c r="J12" s="13"/>
      <c r="K12" s="13">
        <f>IF(A12&lt;&gt;"",VLOOKUP(A12,Variables!$A:$C,3,FALSE),"")</f>
        <v>0</v>
      </c>
    </row>
    <row r="13" spans="1:11" customFormat="1" x14ac:dyDescent="0.2">
      <c r="A13" s="11" t="s">
        <v>125</v>
      </c>
      <c r="B13" s="11">
        <v>1</v>
      </c>
      <c r="C13" s="11"/>
      <c r="D13" s="21"/>
      <c r="E13" s="5" t="str">
        <f t="shared" si="0"/>
        <v>q2_01</v>
      </c>
      <c r="F13" s="5">
        <f t="shared" si="1"/>
        <v>0</v>
      </c>
      <c r="G13" s="13"/>
      <c r="H13" s="13"/>
      <c r="I13" s="13"/>
      <c r="J13" s="13"/>
      <c r="K13" s="13" t="str">
        <f>IF(A13&lt;&gt;"",VLOOKUP(A13,Variables!$A:$C,3,FALSE),"")</f>
        <v/>
      </c>
    </row>
    <row r="14" spans="1:11" customFormat="1" x14ac:dyDescent="0.2">
      <c r="A14" s="11" t="s">
        <v>141</v>
      </c>
      <c r="B14" s="11">
        <v>0</v>
      </c>
      <c r="C14" s="11"/>
      <c r="D14" s="21"/>
      <c r="E14" s="5" t="str">
        <f t="shared" si="0"/>
        <v>q2_02</v>
      </c>
      <c r="F14" s="5">
        <f t="shared" si="1"/>
        <v>0</v>
      </c>
      <c r="G14" s="13"/>
      <c r="H14" s="13"/>
      <c r="I14" s="13"/>
      <c r="J14" s="13"/>
      <c r="K14" s="13">
        <f>IF(A14&lt;&gt;"",VLOOKUP(A14,Variables!$A:$C,3,FALSE),"")</f>
        <v>0</v>
      </c>
    </row>
    <row r="15" spans="1:11" customFormat="1" x14ac:dyDescent="0.2">
      <c r="A15" s="11" t="s">
        <v>125</v>
      </c>
      <c r="B15" s="11">
        <v>1</v>
      </c>
      <c r="C15" s="11"/>
      <c r="D15" s="21"/>
      <c r="E15" s="5" t="str">
        <f t="shared" si="0"/>
        <v>q2_02</v>
      </c>
      <c r="F15" s="5">
        <f t="shared" si="1"/>
        <v>0</v>
      </c>
      <c r="G15" s="13"/>
      <c r="H15" s="13"/>
      <c r="I15" s="13"/>
      <c r="J15" s="13"/>
      <c r="K15" s="13" t="str">
        <f>IF(A15&lt;&gt;"",VLOOKUP(A15,Variables!$A:$C,3,FALSE),"")</f>
        <v/>
      </c>
    </row>
    <row r="16" spans="1:11" customFormat="1" x14ac:dyDescent="0.2">
      <c r="A16" s="11" t="s">
        <v>142</v>
      </c>
      <c r="B16" s="11">
        <v>0</v>
      </c>
      <c r="C16" s="11"/>
      <c r="D16" s="21"/>
      <c r="E16" s="5" t="str">
        <f t="shared" si="0"/>
        <v>q2_03</v>
      </c>
      <c r="F16" s="5">
        <f t="shared" si="1"/>
        <v>0</v>
      </c>
      <c r="G16" s="13"/>
      <c r="H16" s="13"/>
      <c r="I16" s="13"/>
      <c r="J16" s="13"/>
      <c r="K16" s="13">
        <f>IF(A16&lt;&gt;"",VLOOKUP(A16,Variables!$A:$C,3,FALSE),"")</f>
        <v>0</v>
      </c>
    </row>
    <row r="17" spans="1:11" customFormat="1" x14ac:dyDescent="0.2">
      <c r="A17" s="11" t="s">
        <v>125</v>
      </c>
      <c r="B17" s="11">
        <v>1</v>
      </c>
      <c r="C17" s="11"/>
      <c r="D17" s="21"/>
      <c r="E17" s="5" t="str">
        <f t="shared" si="0"/>
        <v>q2_03</v>
      </c>
      <c r="F17" s="5">
        <f t="shared" si="1"/>
        <v>0</v>
      </c>
      <c r="G17" s="13"/>
      <c r="H17" s="13"/>
      <c r="I17" s="13"/>
      <c r="J17" s="13"/>
      <c r="K17" s="13" t="str">
        <f>IF(A17&lt;&gt;"",VLOOKUP(A17,Variables!$A:$C,3,FALSE),"")</f>
        <v/>
      </c>
    </row>
    <row r="18" spans="1:11" customFormat="1" x14ac:dyDescent="0.2">
      <c r="A18" s="11" t="s">
        <v>143</v>
      </c>
      <c r="B18" s="11">
        <v>0</v>
      </c>
      <c r="C18" s="11"/>
      <c r="D18" s="21"/>
      <c r="E18" s="5" t="str">
        <f t="shared" si="0"/>
        <v>q2_04</v>
      </c>
      <c r="F18" s="5">
        <f t="shared" si="1"/>
        <v>0</v>
      </c>
      <c r="G18" s="13"/>
      <c r="H18" s="13"/>
      <c r="I18" s="13"/>
      <c r="J18" s="13"/>
      <c r="K18" s="13">
        <f>IF(A18&lt;&gt;"",VLOOKUP(A18,Variables!$A:$C,3,FALSE),"")</f>
        <v>0</v>
      </c>
    </row>
    <row r="19" spans="1:11" customFormat="1" x14ac:dyDescent="0.2">
      <c r="A19" s="11" t="s">
        <v>125</v>
      </c>
      <c r="B19" s="11">
        <v>1</v>
      </c>
      <c r="C19" s="11"/>
      <c r="D19" s="21"/>
      <c r="E19" s="5" t="str">
        <f t="shared" si="0"/>
        <v>q2_04</v>
      </c>
      <c r="F19" s="5">
        <f t="shared" si="1"/>
        <v>0</v>
      </c>
      <c r="G19" s="13"/>
      <c r="H19" s="13"/>
      <c r="I19" s="13"/>
      <c r="J19" s="13"/>
      <c r="K19" s="13" t="str">
        <f>IF(A19&lt;&gt;"",VLOOKUP(A19,Variables!$A:$C,3,FALSE),"")</f>
        <v/>
      </c>
    </row>
    <row r="20" spans="1:11" customFormat="1" x14ac:dyDescent="0.2">
      <c r="A20" s="11" t="s">
        <v>144</v>
      </c>
      <c r="B20" s="11">
        <v>0</v>
      </c>
      <c r="C20" s="11"/>
      <c r="D20" s="21"/>
      <c r="E20" s="5" t="str">
        <f t="shared" si="0"/>
        <v>q2_05</v>
      </c>
      <c r="F20" s="5">
        <f t="shared" si="1"/>
        <v>0</v>
      </c>
      <c r="G20" s="13"/>
      <c r="H20" s="13"/>
      <c r="I20" s="13"/>
      <c r="J20" s="13"/>
      <c r="K20" s="13">
        <f>IF(A20&lt;&gt;"",VLOOKUP(A20,Variables!$A:$C,3,FALSE),"")</f>
        <v>0</v>
      </c>
    </row>
    <row r="21" spans="1:11" customFormat="1" ht="12.75" customHeight="1" x14ac:dyDescent="0.2">
      <c r="A21" s="11" t="s">
        <v>125</v>
      </c>
      <c r="B21" s="11">
        <v>1</v>
      </c>
      <c r="C21" s="11"/>
      <c r="D21" s="21"/>
      <c r="E21" s="5" t="str">
        <f t="shared" si="0"/>
        <v>q2_05</v>
      </c>
      <c r="F21" s="5">
        <f t="shared" si="1"/>
        <v>0</v>
      </c>
      <c r="G21" s="13"/>
      <c r="H21" s="13"/>
      <c r="I21" s="13"/>
      <c r="J21" s="13"/>
      <c r="K21" s="13" t="str">
        <f>IF(A21&lt;&gt;"",VLOOKUP(A21,Variables!$A:$C,3,FALSE),"")</f>
        <v/>
      </c>
    </row>
    <row r="22" spans="1:11" customFormat="1" x14ac:dyDescent="0.2">
      <c r="A22" s="11" t="s">
        <v>145</v>
      </c>
      <c r="B22" s="11">
        <v>0</v>
      </c>
      <c r="C22" s="11"/>
      <c r="D22" s="21"/>
      <c r="E22" s="5" t="str">
        <f t="shared" si="0"/>
        <v>q2_06</v>
      </c>
      <c r="F22" s="5">
        <f t="shared" si="1"/>
        <v>0</v>
      </c>
      <c r="G22" s="13"/>
      <c r="H22" s="13"/>
      <c r="I22" s="13"/>
      <c r="J22" s="13"/>
      <c r="K22" s="13">
        <f>IF(A22&lt;&gt;"",VLOOKUP(A22,Variables!$A:$C,3,FALSE),"")</f>
        <v>0</v>
      </c>
    </row>
    <row r="23" spans="1:11" customFormat="1" ht="12.75" customHeight="1" x14ac:dyDescent="0.2">
      <c r="A23" s="11" t="s">
        <v>125</v>
      </c>
      <c r="B23" s="11">
        <v>1</v>
      </c>
      <c r="C23" s="11"/>
      <c r="D23" s="21"/>
      <c r="E23" s="5" t="str">
        <f t="shared" si="0"/>
        <v>q2_06</v>
      </c>
      <c r="F23" s="5">
        <f t="shared" si="1"/>
        <v>0</v>
      </c>
      <c r="G23" s="21"/>
      <c r="H23" s="13"/>
      <c r="I23" s="21"/>
      <c r="J23" s="13"/>
      <c r="K23" s="13" t="str">
        <f>IF(A23&lt;&gt;"",VLOOKUP(A23,Variables!$A:$C,3,FALSE),"")</f>
        <v/>
      </c>
    </row>
    <row r="24" spans="1:11" customFormat="1" x14ac:dyDescent="0.2">
      <c r="A24" s="11" t="s">
        <v>146</v>
      </c>
      <c r="B24" s="11">
        <v>0</v>
      </c>
      <c r="C24" s="11"/>
      <c r="D24" s="21"/>
      <c r="E24" s="5" t="str">
        <f t="shared" si="0"/>
        <v>q2_07</v>
      </c>
      <c r="F24" s="5">
        <f t="shared" si="1"/>
        <v>0</v>
      </c>
      <c r="G24" s="13"/>
      <c r="H24" s="13"/>
      <c r="I24" s="13"/>
      <c r="J24" s="13"/>
      <c r="K24" s="13">
        <f>IF(A24&lt;&gt;"",VLOOKUP(A24,Variables!$A:$C,3,FALSE),"")</f>
        <v>0</v>
      </c>
    </row>
    <row r="25" spans="1:11" customFormat="1" x14ac:dyDescent="0.2">
      <c r="A25" s="11" t="s">
        <v>125</v>
      </c>
      <c r="B25" s="11">
        <v>1</v>
      </c>
      <c r="C25" s="11"/>
      <c r="D25" s="21"/>
      <c r="E25" s="5" t="str">
        <f t="shared" si="0"/>
        <v>q2_07</v>
      </c>
      <c r="F25" s="5">
        <f t="shared" si="1"/>
        <v>0</v>
      </c>
      <c r="G25" s="13"/>
      <c r="H25" s="13"/>
      <c r="I25" s="21"/>
      <c r="J25" s="13"/>
      <c r="K25" s="13" t="str">
        <f>IF(A25&lt;&gt;"",VLOOKUP(A25,Variables!$A:$C,3,FALSE),"")</f>
        <v/>
      </c>
    </row>
    <row r="26" spans="1:11" customFormat="1" x14ac:dyDescent="0.2">
      <c r="A26" s="11" t="s">
        <v>147</v>
      </c>
      <c r="B26" s="11">
        <v>0</v>
      </c>
      <c r="C26" s="11"/>
      <c r="D26" s="21"/>
      <c r="E26" s="5" t="str">
        <f t="shared" si="0"/>
        <v>q2_99</v>
      </c>
      <c r="F26" s="5">
        <f t="shared" si="1"/>
        <v>0</v>
      </c>
      <c r="G26" s="13"/>
      <c r="H26" s="13"/>
      <c r="I26" s="13"/>
      <c r="J26" s="13"/>
      <c r="K26" s="13">
        <f>IF(A26&lt;&gt;"",VLOOKUP(A26,Variables!$A:$C,3,FALSE),"")</f>
        <v>0</v>
      </c>
    </row>
    <row r="27" spans="1:11" customFormat="1" x14ac:dyDescent="0.2">
      <c r="A27" s="11" t="s">
        <v>125</v>
      </c>
      <c r="B27" s="11">
        <v>1</v>
      </c>
      <c r="C27" s="11"/>
      <c r="D27" s="21"/>
      <c r="E27" s="5" t="str">
        <f t="shared" si="0"/>
        <v>q2_99</v>
      </c>
      <c r="F27" s="5">
        <f t="shared" si="1"/>
        <v>0</v>
      </c>
      <c r="G27" s="13"/>
      <c r="H27" s="13"/>
      <c r="I27" s="21"/>
      <c r="J27" s="13"/>
      <c r="K27" s="13" t="str">
        <f>IF(A27&lt;&gt;"",VLOOKUP(A27,Variables!$A:$C,3,FALSE),"")</f>
        <v/>
      </c>
    </row>
    <row r="28" spans="1:11" customFormat="1" x14ac:dyDescent="0.2">
      <c r="A28" s="11" t="s">
        <v>148</v>
      </c>
      <c r="B28" s="11">
        <v>-2</v>
      </c>
      <c r="C28" s="11"/>
      <c r="D28" s="21"/>
      <c r="E28" s="5" t="str">
        <f t="shared" si="0"/>
        <v>q3a</v>
      </c>
      <c r="F28" s="5">
        <f t="shared" si="1"/>
        <v>0</v>
      </c>
      <c r="G28" s="21"/>
      <c r="H28" s="13"/>
      <c r="I28" s="21"/>
      <c r="J28" s="21"/>
      <c r="K28" s="13">
        <f>IF(A28&lt;&gt;"",VLOOKUP(A28,Variables!$A:$C,3,FALSE),"")</f>
        <v>0</v>
      </c>
    </row>
    <row r="29" spans="1:11" customFormat="1" x14ac:dyDescent="0.2">
      <c r="A29" s="11" t="s">
        <v>149</v>
      </c>
      <c r="B29" s="11">
        <v>-2</v>
      </c>
      <c r="C29" s="11"/>
      <c r="D29" s="21"/>
      <c r="E29" s="5" t="str">
        <f t="shared" si="0"/>
        <v>q3b</v>
      </c>
      <c r="F29" s="5">
        <f t="shared" si="1"/>
        <v>0</v>
      </c>
      <c r="G29" s="13"/>
      <c r="H29" s="13"/>
      <c r="I29" s="21"/>
      <c r="J29" s="21"/>
      <c r="K29" s="13">
        <f>IF(A29&lt;&gt;"",VLOOKUP(A29,Variables!$A:$C,3,FALSE),"")</f>
        <v>0</v>
      </c>
    </row>
    <row r="30" spans="1:11" customFormat="1" x14ac:dyDescent="0.2">
      <c r="A30" s="11" t="s">
        <v>150</v>
      </c>
      <c r="B30" s="11">
        <v>-2</v>
      </c>
      <c r="C30" s="11"/>
      <c r="D30" s="21"/>
      <c r="E30" s="5" t="str">
        <f t="shared" si="0"/>
        <v>q3c</v>
      </c>
      <c r="F30" s="5">
        <f t="shared" si="1"/>
        <v>0</v>
      </c>
      <c r="G30" s="13"/>
      <c r="H30" s="13"/>
      <c r="I30" s="21"/>
      <c r="J30" s="21"/>
      <c r="K30" s="13">
        <f>IF(A30&lt;&gt;"",VLOOKUP(A30,Variables!$A:$C,3,FALSE),"")</f>
        <v>0</v>
      </c>
    </row>
    <row r="31" spans="1:11" customFormat="1" x14ac:dyDescent="0.2">
      <c r="A31" s="11" t="s">
        <v>151</v>
      </c>
      <c r="B31" s="11">
        <v>-2</v>
      </c>
      <c r="C31" s="11"/>
      <c r="D31" s="21"/>
      <c r="E31" s="5" t="str">
        <f t="shared" si="0"/>
        <v>q3d</v>
      </c>
      <c r="F31" s="5">
        <f t="shared" si="1"/>
        <v>0</v>
      </c>
      <c r="G31" s="13"/>
      <c r="H31" s="13"/>
      <c r="I31" s="21"/>
      <c r="J31" s="21"/>
      <c r="K31" s="13">
        <f>IF(A31&lt;&gt;"",VLOOKUP(A31,Variables!$A:$C,3,FALSE),"")</f>
        <v>0</v>
      </c>
    </row>
    <row r="32" spans="1:11" customFormat="1" x14ac:dyDescent="0.2">
      <c r="A32" s="11" t="s">
        <v>152</v>
      </c>
      <c r="B32" s="11">
        <v>-2</v>
      </c>
      <c r="C32" s="11"/>
      <c r="D32" s="21"/>
      <c r="E32" s="5" t="str">
        <f t="shared" si="0"/>
        <v>q3e</v>
      </c>
      <c r="F32" s="5">
        <f t="shared" si="1"/>
        <v>0</v>
      </c>
      <c r="G32" s="13"/>
      <c r="H32" s="13"/>
      <c r="I32" s="21"/>
      <c r="J32" s="21"/>
      <c r="K32" s="13">
        <f>IF(A32&lt;&gt;"",VLOOKUP(A32,Variables!$A:$C,3,FALSE),"")</f>
        <v>0</v>
      </c>
    </row>
    <row r="33" spans="1:11" customFormat="1" x14ac:dyDescent="0.2">
      <c r="A33" s="11" t="s">
        <v>153</v>
      </c>
      <c r="B33" s="11">
        <v>-2</v>
      </c>
      <c r="C33" s="11"/>
      <c r="D33" s="21"/>
      <c r="E33" s="5" t="str">
        <f t="shared" si="0"/>
        <v>q3f</v>
      </c>
      <c r="F33" s="5">
        <f t="shared" si="1"/>
        <v>0</v>
      </c>
      <c r="G33" s="21"/>
      <c r="H33" s="13"/>
      <c r="I33" s="21"/>
      <c r="J33" s="21"/>
      <c r="K33" s="13">
        <f>IF(A33&lt;&gt;"",VLOOKUP(A33,Variables!$A:$C,3,FALSE),"")</f>
        <v>0</v>
      </c>
    </row>
    <row r="34" spans="1:11" customFormat="1" ht="12.75" customHeight="1" x14ac:dyDescent="0.2">
      <c r="A34" s="11" t="s">
        <v>154</v>
      </c>
      <c r="B34" s="11">
        <v>-2</v>
      </c>
      <c r="C34" s="11"/>
      <c r="D34" s="21"/>
      <c r="E34" s="5" t="str">
        <f t="shared" si="0"/>
        <v>q3g</v>
      </c>
      <c r="F34" s="5">
        <f t="shared" si="1"/>
        <v>0</v>
      </c>
      <c r="G34" s="13"/>
      <c r="H34" s="13"/>
      <c r="I34" s="21"/>
      <c r="J34" s="21"/>
      <c r="K34" s="13">
        <f>IF(A34&lt;&gt;"",VLOOKUP(A34,Variables!$A:$C,3,FALSE),"")</f>
        <v>0</v>
      </c>
    </row>
    <row r="35" spans="1:11" customFormat="1" x14ac:dyDescent="0.2">
      <c r="A35" s="11" t="s">
        <v>157</v>
      </c>
      <c r="B35" s="11">
        <v>-3</v>
      </c>
      <c r="C35" s="11"/>
      <c r="D35" s="21"/>
      <c r="E35" s="5" t="str">
        <f t="shared" ref="E35:E66" si="2">IF(A35&lt;&gt;"",IF(V_LabelvorVariablen=TRUE,A35,IF(VLOOKUP(A35,V_VariablenEigenschaften,12,FALSE)="",A35,VLOOKUP(A35,V_VariablenEigenschaften,12,FALSE))),E34)</f>
        <v>q4</v>
      </c>
      <c r="F35" s="5">
        <f t="shared" si="1"/>
        <v>0</v>
      </c>
      <c r="G35" s="13"/>
      <c r="H35" s="13"/>
      <c r="I35" s="21"/>
      <c r="J35" s="21"/>
      <c r="K35" s="13">
        <f>IF(A35&lt;&gt;"",VLOOKUP(A35,Variables!$A:$C,3,FALSE),"")</f>
        <v>0</v>
      </c>
    </row>
    <row r="36" spans="1:11" customFormat="1" ht="12.75" customHeight="1" x14ac:dyDescent="0.2">
      <c r="A36" s="11" t="s">
        <v>125</v>
      </c>
      <c r="B36" s="11">
        <v>-2</v>
      </c>
      <c r="C36" s="11"/>
      <c r="D36" s="21"/>
      <c r="E36" s="5" t="str">
        <f t="shared" si="2"/>
        <v>q4</v>
      </c>
      <c r="F36" s="5">
        <f t="shared" si="1"/>
        <v>0</v>
      </c>
      <c r="G36" s="21"/>
      <c r="H36" s="13"/>
      <c r="I36" s="13"/>
      <c r="J36" s="13"/>
      <c r="K36" s="13" t="str">
        <f>IF(A36&lt;&gt;"",VLOOKUP(A36,Variables!$A:$C,3,FALSE),"")</f>
        <v/>
      </c>
    </row>
    <row r="37" spans="1:11" customFormat="1" x14ac:dyDescent="0.2">
      <c r="A37" s="11" t="s">
        <v>125</v>
      </c>
      <c r="B37" s="11">
        <v>-1</v>
      </c>
      <c r="C37" s="11"/>
      <c r="D37" s="21"/>
      <c r="E37" s="5" t="str">
        <f t="shared" si="2"/>
        <v>q4</v>
      </c>
      <c r="F37" s="5">
        <f t="shared" si="1"/>
        <v>0</v>
      </c>
      <c r="G37" s="13"/>
      <c r="H37" s="13"/>
      <c r="I37" s="13"/>
      <c r="J37" s="13"/>
      <c r="K37" s="13" t="str">
        <f>IF(A37&lt;&gt;"",VLOOKUP(A37,Variables!$A:$C,3,FALSE),"")</f>
        <v/>
      </c>
    </row>
    <row r="38" spans="1:11" customFormat="1" ht="12.75" customHeight="1" x14ac:dyDescent="0.2">
      <c r="A38" s="11" t="s">
        <v>76</v>
      </c>
      <c r="B38" s="11">
        <v>-2</v>
      </c>
      <c r="C38" s="11"/>
      <c r="D38" s="21"/>
      <c r="E38" s="5" t="str">
        <f t="shared" si="2"/>
        <v>q6a</v>
      </c>
      <c r="F38" s="5">
        <f t="shared" si="1"/>
        <v>0</v>
      </c>
      <c r="G38" s="13"/>
      <c r="H38" s="13"/>
      <c r="I38" s="13"/>
      <c r="J38" s="13"/>
      <c r="K38" s="13">
        <f>IF(A38&lt;&gt;"",VLOOKUP(A38,Variables!$A:$C,3,FALSE),"")</f>
        <v>0</v>
      </c>
    </row>
    <row r="39" spans="1:11" customFormat="1" x14ac:dyDescent="0.2">
      <c r="A39" s="11" t="s">
        <v>125</v>
      </c>
      <c r="B39" s="11">
        <v>1</v>
      </c>
      <c r="C39" s="11"/>
      <c r="D39" s="21" t="s">
        <v>127</v>
      </c>
      <c r="E39" s="5" t="str">
        <f t="shared" si="2"/>
        <v>q6a</v>
      </c>
      <c r="F39" s="5">
        <f t="shared" si="1"/>
        <v>0</v>
      </c>
      <c r="G39" s="13"/>
      <c r="H39" s="13"/>
      <c r="I39" s="13"/>
      <c r="J39" s="13"/>
      <c r="K39" s="13" t="str">
        <f>IF(A39&lt;&gt;"",VLOOKUP(A39,Variables!$A:$C,3,FALSE),"")</f>
        <v/>
      </c>
    </row>
    <row r="40" spans="1:11" customFormat="1" x14ac:dyDescent="0.2">
      <c r="A40" s="11" t="s">
        <v>125</v>
      </c>
      <c r="B40" s="11">
        <v>2</v>
      </c>
      <c r="C40" s="11"/>
      <c r="D40" s="21" t="s">
        <v>128</v>
      </c>
      <c r="E40" s="5" t="str">
        <f t="shared" si="2"/>
        <v>q6a</v>
      </c>
      <c r="F40" s="5">
        <f t="shared" si="1"/>
        <v>0</v>
      </c>
      <c r="G40" s="13"/>
      <c r="H40" s="13"/>
      <c r="I40" s="13"/>
      <c r="J40" s="13"/>
      <c r="K40" s="13" t="str">
        <f>IF(A40&lt;&gt;"",VLOOKUP(A40,Variables!$A:$C,3,FALSE),"")</f>
        <v/>
      </c>
    </row>
    <row r="41" spans="1:11" customFormat="1" x14ac:dyDescent="0.2">
      <c r="A41" s="11" t="s">
        <v>125</v>
      </c>
      <c r="B41" s="11">
        <v>3</v>
      </c>
      <c r="C41" s="11"/>
      <c r="D41" s="21" t="s">
        <v>129</v>
      </c>
      <c r="E41" s="5" t="str">
        <f t="shared" si="2"/>
        <v>q6a</v>
      </c>
      <c r="F41" s="5">
        <f t="shared" si="1"/>
        <v>0</v>
      </c>
      <c r="G41" s="13"/>
      <c r="H41" s="13"/>
      <c r="I41" s="13"/>
      <c r="J41" s="13"/>
      <c r="K41" s="13" t="str">
        <f>IF(A41&lt;&gt;"",VLOOKUP(A41,Variables!$A:$C,3,FALSE),"")</f>
        <v/>
      </c>
    </row>
    <row r="42" spans="1:11" customFormat="1" x14ac:dyDescent="0.2">
      <c r="A42" s="11" t="s">
        <v>125</v>
      </c>
      <c r="B42" s="11">
        <v>4</v>
      </c>
      <c r="C42" s="11"/>
      <c r="D42" s="21" t="s">
        <v>130</v>
      </c>
      <c r="E42" s="5" t="str">
        <f t="shared" si="2"/>
        <v>q6a</v>
      </c>
      <c r="F42" s="5">
        <f t="shared" si="1"/>
        <v>0</v>
      </c>
      <c r="G42" s="13"/>
      <c r="H42" s="13"/>
      <c r="I42" s="13"/>
      <c r="J42" s="13"/>
      <c r="K42" s="13" t="str">
        <f>IF(A42&lt;&gt;"",VLOOKUP(A42,Variables!$A:$C,3,FALSE),"")</f>
        <v/>
      </c>
    </row>
    <row r="43" spans="1:11" customFormat="1" x14ac:dyDescent="0.2">
      <c r="A43" s="11" t="s">
        <v>125</v>
      </c>
      <c r="B43" s="11">
        <v>5</v>
      </c>
      <c r="C43" s="11"/>
      <c r="D43" s="21" t="s">
        <v>131</v>
      </c>
      <c r="E43" s="5" t="str">
        <f t="shared" si="2"/>
        <v>q6a</v>
      </c>
      <c r="F43" s="5">
        <f t="shared" si="1"/>
        <v>0</v>
      </c>
      <c r="G43" s="13"/>
      <c r="H43" s="13"/>
      <c r="I43" s="13"/>
      <c r="J43" s="13"/>
      <c r="K43" s="13" t="str">
        <f>IF(A43&lt;&gt;"",VLOOKUP(A43,Variables!$A:$C,3,FALSE),"")</f>
        <v/>
      </c>
    </row>
    <row r="44" spans="1:11" customFormat="1" x14ac:dyDescent="0.2">
      <c r="A44" s="11" t="s">
        <v>125</v>
      </c>
      <c r="B44" s="11">
        <v>98</v>
      </c>
      <c r="C44" s="11"/>
      <c r="D44" s="21"/>
      <c r="E44" s="5" t="str">
        <f t="shared" si="2"/>
        <v>q6a</v>
      </c>
      <c r="F44" s="5">
        <f t="shared" si="1"/>
        <v>0</v>
      </c>
      <c r="G44" s="13"/>
      <c r="H44" s="13"/>
      <c r="I44" s="13"/>
      <c r="J44" s="13"/>
      <c r="K44" s="13" t="str">
        <f>IF(A44&lt;&gt;"",VLOOKUP(A44,Variables!$A:$C,3,FALSE),"")</f>
        <v/>
      </c>
    </row>
    <row r="45" spans="1:11" customFormat="1" x14ac:dyDescent="0.2">
      <c r="A45" s="11" t="s">
        <v>125</v>
      </c>
      <c r="B45" s="11">
        <v>99</v>
      </c>
      <c r="C45" s="11"/>
      <c r="D45" s="21"/>
      <c r="E45" s="5" t="str">
        <f t="shared" si="2"/>
        <v>q6a</v>
      </c>
      <c r="F45" s="5">
        <f t="shared" si="1"/>
        <v>0</v>
      </c>
      <c r="G45" s="13"/>
      <c r="H45" s="13"/>
      <c r="I45" s="13"/>
      <c r="J45" s="13"/>
      <c r="K45" s="13" t="str">
        <f>IF(A45&lt;&gt;"",VLOOKUP(A45,Variables!$A:$C,3,FALSE),"")</f>
        <v/>
      </c>
    </row>
    <row r="46" spans="1:11" customFormat="1" ht="12.75" customHeight="1" x14ac:dyDescent="0.2">
      <c r="A46" s="11" t="s">
        <v>77</v>
      </c>
      <c r="B46" s="11">
        <v>-2</v>
      </c>
      <c r="C46" s="11"/>
      <c r="D46" s="21"/>
      <c r="E46" s="5" t="str">
        <f t="shared" si="2"/>
        <v>q6b</v>
      </c>
      <c r="F46" s="5">
        <f t="shared" si="1"/>
        <v>0</v>
      </c>
      <c r="G46" s="13"/>
      <c r="H46" s="13"/>
      <c r="I46" s="13"/>
      <c r="J46" s="13"/>
      <c r="K46" s="13">
        <f>IF(A46&lt;&gt;"",VLOOKUP(A46,Variables!$A:$C,3,FALSE),"")</f>
        <v>0</v>
      </c>
    </row>
    <row r="47" spans="1:11" customFormat="1" x14ac:dyDescent="0.2">
      <c r="A47" s="11" t="s">
        <v>125</v>
      </c>
      <c r="B47" s="11">
        <v>1</v>
      </c>
      <c r="C47" s="11"/>
      <c r="D47" s="21" t="s">
        <v>127</v>
      </c>
      <c r="E47" s="5" t="str">
        <f t="shared" si="2"/>
        <v>q6b</v>
      </c>
      <c r="F47" s="5">
        <f t="shared" si="1"/>
        <v>0</v>
      </c>
      <c r="G47" s="13"/>
      <c r="H47" s="13"/>
      <c r="I47" s="13"/>
      <c r="J47" s="13"/>
      <c r="K47" s="13" t="str">
        <f>IF(A47&lt;&gt;"",VLOOKUP(A47,Variables!$A:$C,3,FALSE),"")</f>
        <v/>
      </c>
    </row>
    <row r="48" spans="1:11" customFormat="1" ht="12.75" customHeight="1" x14ac:dyDescent="0.2">
      <c r="A48" s="11" t="s">
        <v>125</v>
      </c>
      <c r="B48" s="11">
        <v>2</v>
      </c>
      <c r="C48" s="11"/>
      <c r="D48" s="21" t="s">
        <v>128</v>
      </c>
      <c r="E48" s="5" t="str">
        <f t="shared" si="2"/>
        <v>q6b</v>
      </c>
      <c r="F48" s="5">
        <f t="shared" si="1"/>
        <v>0</v>
      </c>
      <c r="G48" s="21"/>
      <c r="H48" s="13"/>
      <c r="I48" s="21"/>
      <c r="J48" s="13"/>
      <c r="K48" s="13" t="str">
        <f>IF(A48&lt;&gt;"",VLOOKUP(A48,Variables!$A:$C,3,FALSE),"")</f>
        <v/>
      </c>
    </row>
    <row r="49" spans="1:11" customFormat="1" x14ac:dyDescent="0.2">
      <c r="A49" s="11" t="s">
        <v>125</v>
      </c>
      <c r="B49" s="11">
        <v>3</v>
      </c>
      <c r="C49" s="11"/>
      <c r="D49" s="21" t="s">
        <v>129</v>
      </c>
      <c r="E49" s="5" t="str">
        <f t="shared" si="2"/>
        <v>q6b</v>
      </c>
      <c r="F49" s="5">
        <f t="shared" si="1"/>
        <v>0</v>
      </c>
      <c r="G49" s="13"/>
      <c r="H49" s="13"/>
      <c r="I49" s="13"/>
      <c r="J49" s="13"/>
      <c r="K49" s="13" t="str">
        <f>IF(A49&lt;&gt;"",VLOOKUP(A49,Variables!$A:$C,3,FALSE),"")</f>
        <v/>
      </c>
    </row>
    <row r="50" spans="1:11" customFormat="1" ht="12.75" customHeight="1" x14ac:dyDescent="0.2">
      <c r="A50" s="11" t="s">
        <v>125</v>
      </c>
      <c r="B50" s="11">
        <v>4</v>
      </c>
      <c r="C50" s="11"/>
      <c r="D50" s="21" t="s">
        <v>130</v>
      </c>
      <c r="E50" s="5" t="str">
        <f t="shared" si="2"/>
        <v>q6b</v>
      </c>
      <c r="F50" s="5">
        <f t="shared" si="1"/>
        <v>0</v>
      </c>
      <c r="G50" s="13"/>
      <c r="H50" s="13"/>
      <c r="I50" s="21"/>
      <c r="J50" s="13"/>
      <c r="K50" s="13" t="str">
        <f>IF(A50&lt;&gt;"",VLOOKUP(A50,Variables!$A:$C,3,FALSE),"")</f>
        <v/>
      </c>
    </row>
    <row r="51" spans="1:11" customFormat="1" x14ac:dyDescent="0.2">
      <c r="A51" s="11" t="s">
        <v>125</v>
      </c>
      <c r="B51" s="11">
        <v>5</v>
      </c>
      <c r="C51" s="11"/>
      <c r="D51" s="21" t="s">
        <v>131</v>
      </c>
      <c r="E51" s="5" t="str">
        <f t="shared" si="2"/>
        <v>q6b</v>
      </c>
      <c r="F51" s="5">
        <f t="shared" si="1"/>
        <v>0</v>
      </c>
      <c r="G51" s="13"/>
      <c r="H51" s="13"/>
      <c r="I51" s="13"/>
      <c r="J51" s="13"/>
      <c r="K51" s="13" t="str">
        <f>IF(A51&lt;&gt;"",VLOOKUP(A51,Variables!$A:$C,3,FALSE),"")</f>
        <v/>
      </c>
    </row>
    <row r="52" spans="1:11" customFormat="1" ht="12.75" customHeight="1" x14ac:dyDescent="0.2">
      <c r="A52" s="11" t="s">
        <v>125</v>
      </c>
      <c r="B52" s="11">
        <v>98</v>
      </c>
      <c r="C52" s="11"/>
      <c r="D52" s="21"/>
      <c r="E52" s="5" t="str">
        <f t="shared" si="2"/>
        <v>q6b</v>
      </c>
      <c r="F52" s="5">
        <f t="shared" si="1"/>
        <v>0</v>
      </c>
      <c r="G52" s="13"/>
      <c r="H52" s="13"/>
      <c r="I52" s="13"/>
      <c r="J52" s="13"/>
      <c r="K52" s="13" t="str">
        <f>IF(A52&lt;&gt;"",VLOOKUP(A52,Variables!$A:$C,3,FALSE),"")</f>
        <v/>
      </c>
    </row>
    <row r="53" spans="1:11" customFormat="1" x14ac:dyDescent="0.2">
      <c r="A53" s="11" t="s">
        <v>125</v>
      </c>
      <c r="B53" s="11">
        <v>99</v>
      </c>
      <c r="C53" s="11"/>
      <c r="D53" s="21"/>
      <c r="E53" s="5" t="str">
        <f t="shared" si="2"/>
        <v>q6b</v>
      </c>
      <c r="F53" s="5">
        <f t="shared" si="1"/>
        <v>0</v>
      </c>
      <c r="G53" s="13"/>
      <c r="H53" s="13"/>
      <c r="I53" s="13"/>
      <c r="J53" s="13"/>
      <c r="K53" s="13" t="str">
        <f>IF(A53&lt;&gt;"",VLOOKUP(A53,Variables!$A:$C,3,FALSE),"")</f>
        <v/>
      </c>
    </row>
    <row r="54" spans="1:11" customFormat="1" x14ac:dyDescent="0.2">
      <c r="A54" s="11" t="s">
        <v>78</v>
      </c>
      <c r="B54" s="11">
        <v>-2</v>
      </c>
      <c r="C54" s="11"/>
      <c r="D54" s="21"/>
      <c r="E54" s="5" t="str">
        <f t="shared" si="2"/>
        <v>q6c</v>
      </c>
      <c r="F54" s="5">
        <f t="shared" si="1"/>
        <v>0</v>
      </c>
      <c r="G54" s="13"/>
      <c r="H54" s="13"/>
      <c r="I54" s="13"/>
      <c r="J54" s="13"/>
      <c r="K54" s="13">
        <f>IF(A54&lt;&gt;"",VLOOKUP(A54,Variables!$A:$C,3,FALSE),"")</f>
        <v>0</v>
      </c>
    </row>
    <row r="55" spans="1:11" customFormat="1" x14ac:dyDescent="0.2">
      <c r="A55" s="11" t="s">
        <v>125</v>
      </c>
      <c r="B55" s="11">
        <v>1</v>
      </c>
      <c r="C55" s="11"/>
      <c r="D55" s="21" t="s">
        <v>127</v>
      </c>
      <c r="E55" s="5" t="str">
        <f t="shared" si="2"/>
        <v>q6c</v>
      </c>
      <c r="F55" s="5">
        <f t="shared" si="1"/>
        <v>0</v>
      </c>
      <c r="G55" s="13"/>
      <c r="H55" s="13"/>
      <c r="I55" s="13"/>
      <c r="J55" s="13"/>
      <c r="K55" s="13" t="str">
        <f>IF(A55&lt;&gt;"",VLOOKUP(A55,Variables!$A:$C,3,FALSE),"")</f>
        <v/>
      </c>
    </row>
    <row r="56" spans="1:11" customFormat="1" ht="12.75" customHeight="1" x14ac:dyDescent="0.2">
      <c r="A56" s="11" t="s">
        <v>125</v>
      </c>
      <c r="B56" s="11">
        <v>2</v>
      </c>
      <c r="C56" s="11"/>
      <c r="D56" s="21" t="s">
        <v>128</v>
      </c>
      <c r="E56" s="5" t="str">
        <f t="shared" si="2"/>
        <v>q6c</v>
      </c>
      <c r="F56" s="5">
        <f t="shared" si="1"/>
        <v>0</v>
      </c>
      <c r="G56" s="13"/>
      <c r="H56" s="13"/>
      <c r="I56" s="13"/>
      <c r="J56" s="13"/>
      <c r="K56" s="13" t="str">
        <f>IF(A56&lt;&gt;"",VLOOKUP(A56,Variables!$A:$C,3,FALSE),"")</f>
        <v/>
      </c>
    </row>
    <row r="57" spans="1:11" customFormat="1" x14ac:dyDescent="0.2">
      <c r="A57" s="11" t="s">
        <v>125</v>
      </c>
      <c r="B57" s="11">
        <v>3</v>
      </c>
      <c r="C57" s="11"/>
      <c r="D57" s="21" t="s">
        <v>129</v>
      </c>
      <c r="E57" s="5" t="str">
        <f t="shared" si="2"/>
        <v>q6c</v>
      </c>
      <c r="F57" s="5">
        <f t="shared" si="1"/>
        <v>0</v>
      </c>
      <c r="G57" s="13"/>
      <c r="H57" s="13"/>
      <c r="I57" s="13"/>
      <c r="J57" s="13"/>
      <c r="K57" s="13" t="str">
        <f>IF(A57&lt;&gt;"",VLOOKUP(A57,Variables!$A:$C,3,FALSE),"")</f>
        <v/>
      </c>
    </row>
    <row r="58" spans="1:11" customFormat="1" x14ac:dyDescent="0.2">
      <c r="A58" s="11" t="s">
        <v>125</v>
      </c>
      <c r="B58" s="11">
        <v>4</v>
      </c>
      <c r="C58" s="11"/>
      <c r="D58" s="21" t="s">
        <v>130</v>
      </c>
      <c r="E58" s="5" t="str">
        <f t="shared" si="2"/>
        <v>q6c</v>
      </c>
      <c r="F58" s="5">
        <f t="shared" si="1"/>
        <v>0</v>
      </c>
      <c r="G58" s="13"/>
      <c r="H58" s="13"/>
      <c r="I58" s="13"/>
      <c r="J58" s="13"/>
      <c r="K58" s="13" t="str">
        <f>IF(A58&lt;&gt;"",VLOOKUP(A58,Variables!$A:$C,3,FALSE),"")</f>
        <v/>
      </c>
    </row>
    <row r="59" spans="1:11" customFormat="1" x14ac:dyDescent="0.2">
      <c r="A59" s="11" t="s">
        <v>125</v>
      </c>
      <c r="B59" s="11">
        <v>5</v>
      </c>
      <c r="C59" s="11"/>
      <c r="D59" s="21" t="s">
        <v>131</v>
      </c>
      <c r="E59" s="5" t="str">
        <f t="shared" si="2"/>
        <v>q6c</v>
      </c>
      <c r="F59" s="5">
        <f t="shared" si="1"/>
        <v>0</v>
      </c>
      <c r="G59" s="13"/>
      <c r="H59" s="13"/>
      <c r="I59" s="13"/>
      <c r="J59" s="13"/>
      <c r="K59" s="13" t="str">
        <f>IF(A59&lt;&gt;"",VLOOKUP(A59,Variables!$A:$C,3,FALSE),"")</f>
        <v/>
      </c>
    </row>
    <row r="60" spans="1:11" customFormat="1" x14ac:dyDescent="0.2">
      <c r="A60" s="11" t="s">
        <v>125</v>
      </c>
      <c r="B60" s="11">
        <v>98</v>
      </c>
      <c r="C60" s="11"/>
      <c r="D60" s="21"/>
      <c r="E60" s="5" t="str">
        <f t="shared" si="2"/>
        <v>q6c</v>
      </c>
      <c r="F60" s="5">
        <f t="shared" si="1"/>
        <v>0</v>
      </c>
      <c r="G60" s="13"/>
      <c r="H60" s="13"/>
      <c r="I60" s="13"/>
      <c r="J60" s="13"/>
      <c r="K60" s="13" t="str">
        <f>IF(A60&lt;&gt;"",VLOOKUP(A60,Variables!$A:$C,3,FALSE),"")</f>
        <v/>
      </c>
    </row>
    <row r="61" spans="1:11" customFormat="1" x14ac:dyDescent="0.2">
      <c r="A61" s="11" t="s">
        <v>125</v>
      </c>
      <c r="B61" s="11">
        <v>99</v>
      </c>
      <c r="C61" s="11"/>
      <c r="D61" s="21"/>
      <c r="E61" s="5" t="str">
        <f t="shared" si="2"/>
        <v>q6c</v>
      </c>
      <c r="F61" s="5">
        <f t="shared" si="1"/>
        <v>0</v>
      </c>
      <c r="G61" s="13"/>
      <c r="H61" s="13"/>
      <c r="I61" s="13"/>
      <c r="J61" s="13"/>
      <c r="K61" s="13" t="str">
        <f>IF(A61&lt;&gt;"",VLOOKUP(A61,Variables!$A:$C,3,FALSE),"")</f>
        <v/>
      </c>
    </row>
    <row r="62" spans="1:11" customFormat="1" x14ac:dyDescent="0.2">
      <c r="A62" s="11" t="s">
        <v>79</v>
      </c>
      <c r="B62" s="11">
        <v>-2</v>
      </c>
      <c r="C62" s="11"/>
      <c r="D62" s="21"/>
      <c r="E62" s="5" t="str">
        <f t="shared" si="2"/>
        <v>q6d</v>
      </c>
      <c r="F62" s="5">
        <f t="shared" si="1"/>
        <v>0</v>
      </c>
      <c r="G62" s="13"/>
      <c r="H62" s="13"/>
      <c r="I62" s="13"/>
      <c r="J62" s="13"/>
      <c r="K62" s="13">
        <f>IF(A62&lt;&gt;"",VLOOKUP(A62,Variables!$A:$C,3,FALSE),"")</f>
        <v>0</v>
      </c>
    </row>
    <row r="63" spans="1:11" customFormat="1" x14ac:dyDescent="0.2">
      <c r="A63" s="11" t="s">
        <v>125</v>
      </c>
      <c r="B63" s="11">
        <v>1</v>
      </c>
      <c r="C63" s="11"/>
      <c r="D63" s="21" t="s">
        <v>127</v>
      </c>
      <c r="E63" s="5" t="str">
        <f t="shared" si="2"/>
        <v>q6d</v>
      </c>
      <c r="F63" s="5">
        <f t="shared" si="1"/>
        <v>0</v>
      </c>
      <c r="G63" s="13"/>
      <c r="H63" s="13"/>
      <c r="I63" s="13"/>
      <c r="J63" s="13"/>
      <c r="K63" s="13" t="str">
        <f>IF(A63&lt;&gt;"",VLOOKUP(A63,Variables!$A:$C,3,FALSE),"")</f>
        <v/>
      </c>
    </row>
    <row r="64" spans="1:11" customFormat="1" x14ac:dyDescent="0.2">
      <c r="A64" s="11" t="s">
        <v>125</v>
      </c>
      <c r="B64" s="11">
        <v>2</v>
      </c>
      <c r="C64" s="11"/>
      <c r="D64" s="21" t="s">
        <v>128</v>
      </c>
      <c r="E64" s="5" t="str">
        <f t="shared" si="2"/>
        <v>q6d</v>
      </c>
      <c r="F64" s="5">
        <f t="shared" si="1"/>
        <v>0</v>
      </c>
      <c r="G64" s="13"/>
      <c r="H64" s="13"/>
      <c r="I64" s="13"/>
      <c r="J64" s="13"/>
      <c r="K64" s="13" t="str">
        <f>IF(A64&lt;&gt;"",VLOOKUP(A64,Variables!$A:$C,3,FALSE),"")</f>
        <v/>
      </c>
    </row>
    <row r="65" spans="1:11" customFormat="1" x14ac:dyDescent="0.2">
      <c r="A65" s="11" t="s">
        <v>125</v>
      </c>
      <c r="B65" s="11">
        <v>3</v>
      </c>
      <c r="C65" s="11"/>
      <c r="D65" s="21" t="s">
        <v>129</v>
      </c>
      <c r="E65" s="5" t="str">
        <f t="shared" si="2"/>
        <v>q6d</v>
      </c>
      <c r="F65" s="5">
        <f t="shared" si="1"/>
        <v>0</v>
      </c>
      <c r="G65" s="13"/>
      <c r="H65" s="13"/>
      <c r="I65" s="13"/>
      <c r="J65" s="13"/>
      <c r="K65" s="13" t="str">
        <f>IF(A65&lt;&gt;"",VLOOKUP(A65,Variables!$A:$C,3,FALSE),"")</f>
        <v/>
      </c>
    </row>
    <row r="66" spans="1:11" customFormat="1" x14ac:dyDescent="0.2">
      <c r="A66" s="11" t="s">
        <v>125</v>
      </c>
      <c r="B66" s="11">
        <v>4</v>
      </c>
      <c r="C66" s="11"/>
      <c r="D66" s="21" t="s">
        <v>130</v>
      </c>
      <c r="E66" s="5" t="str">
        <f t="shared" si="2"/>
        <v>q6d</v>
      </c>
      <c r="F66" s="5">
        <f t="shared" si="1"/>
        <v>0</v>
      </c>
      <c r="G66" s="13"/>
      <c r="H66" s="13"/>
      <c r="I66" s="13"/>
      <c r="J66" s="13"/>
      <c r="K66" s="13" t="str">
        <f>IF(A66&lt;&gt;"",VLOOKUP(A66,Variables!$A:$C,3,FALSE),"")</f>
        <v/>
      </c>
    </row>
    <row r="67" spans="1:11" customFormat="1" x14ac:dyDescent="0.2">
      <c r="A67" s="11" t="s">
        <v>125</v>
      </c>
      <c r="B67" s="11">
        <v>5</v>
      </c>
      <c r="C67" s="11"/>
      <c r="D67" s="21" t="s">
        <v>131</v>
      </c>
      <c r="E67" s="5" t="str">
        <f t="shared" ref="E67:E98" si="3">IF(A67&lt;&gt;"",IF(V_LabelvorVariablen=TRUE,A67,IF(VLOOKUP(A67,V_VariablenEigenschaften,12,FALSE)="",A67,VLOOKUP(A67,V_VariablenEigenschaften,12,FALSE))),E66)</f>
        <v>q6d</v>
      </c>
      <c r="F67" s="5">
        <f t="shared" ref="F67:F109" si="4">LEN(C67)</f>
        <v>0</v>
      </c>
      <c r="G67" s="13"/>
      <c r="H67" s="13"/>
      <c r="I67" s="13"/>
      <c r="J67" s="13"/>
      <c r="K67" s="13" t="str">
        <f>IF(A67&lt;&gt;"",VLOOKUP(A67,Variables!$A:$C,3,FALSE),"")</f>
        <v/>
      </c>
    </row>
    <row r="68" spans="1:11" customFormat="1" x14ac:dyDescent="0.2">
      <c r="A68" s="11" t="s">
        <v>125</v>
      </c>
      <c r="B68" s="11">
        <v>98</v>
      </c>
      <c r="C68" s="11"/>
      <c r="D68" s="21"/>
      <c r="E68" s="5" t="str">
        <f t="shared" si="3"/>
        <v>q6d</v>
      </c>
      <c r="F68" s="5">
        <f t="shared" si="4"/>
        <v>0</v>
      </c>
      <c r="G68" s="13"/>
      <c r="H68" s="13"/>
      <c r="I68" s="13"/>
      <c r="J68" s="13"/>
      <c r="K68" s="13" t="str">
        <f>IF(A68&lt;&gt;"",VLOOKUP(A68,Variables!$A:$C,3,FALSE),"")</f>
        <v/>
      </c>
    </row>
    <row r="69" spans="1:11" customFormat="1" x14ac:dyDescent="0.2">
      <c r="A69" s="11" t="s">
        <v>125</v>
      </c>
      <c r="B69" s="11">
        <v>99</v>
      </c>
      <c r="C69" s="11"/>
      <c r="D69" s="21"/>
      <c r="E69" s="5" t="str">
        <f t="shared" si="3"/>
        <v>q6d</v>
      </c>
      <c r="F69" s="5">
        <f t="shared" si="4"/>
        <v>0</v>
      </c>
      <c r="G69" s="13"/>
      <c r="H69" s="13"/>
      <c r="I69" s="13"/>
      <c r="J69" s="13"/>
      <c r="K69" s="13" t="str">
        <f>IF(A69&lt;&gt;"",VLOOKUP(A69,Variables!$A:$C,3,FALSE),"")</f>
        <v/>
      </c>
    </row>
    <row r="70" spans="1:11" customFormat="1" x14ac:dyDescent="0.2">
      <c r="A70" s="11" t="s">
        <v>80</v>
      </c>
      <c r="B70" s="11">
        <v>-2</v>
      </c>
      <c r="C70" s="11"/>
      <c r="D70" s="21"/>
      <c r="E70" s="5" t="str">
        <f t="shared" si="3"/>
        <v>q6e</v>
      </c>
      <c r="F70" s="5">
        <f t="shared" si="4"/>
        <v>0</v>
      </c>
      <c r="G70" s="13"/>
      <c r="H70" s="13"/>
      <c r="I70" s="13"/>
      <c r="J70" s="13"/>
      <c r="K70" s="13">
        <f>IF(A70&lt;&gt;"",VLOOKUP(A70,Variables!$A:$C,3,FALSE),"")</f>
        <v>0</v>
      </c>
    </row>
    <row r="71" spans="1:11" customFormat="1" x14ac:dyDescent="0.2">
      <c r="A71" s="11" t="s">
        <v>125</v>
      </c>
      <c r="B71" s="11">
        <v>1</v>
      </c>
      <c r="C71" s="11"/>
      <c r="D71" s="21" t="s">
        <v>127</v>
      </c>
      <c r="E71" s="5" t="str">
        <f t="shared" si="3"/>
        <v>q6e</v>
      </c>
      <c r="F71" s="5">
        <f t="shared" si="4"/>
        <v>0</v>
      </c>
      <c r="G71" s="13"/>
      <c r="H71" s="13"/>
      <c r="I71" s="13"/>
      <c r="J71" s="13"/>
      <c r="K71" s="13" t="str">
        <f>IF(A71&lt;&gt;"",VLOOKUP(A71,Variables!$A:$C,3,FALSE),"")</f>
        <v/>
      </c>
    </row>
    <row r="72" spans="1:11" customFormat="1" x14ac:dyDescent="0.2">
      <c r="A72" s="11" t="s">
        <v>125</v>
      </c>
      <c r="B72" s="11">
        <v>2</v>
      </c>
      <c r="C72" s="11"/>
      <c r="D72" s="21" t="s">
        <v>128</v>
      </c>
      <c r="E72" s="5" t="str">
        <f t="shared" si="3"/>
        <v>q6e</v>
      </c>
      <c r="F72" s="5">
        <f t="shared" si="4"/>
        <v>0</v>
      </c>
      <c r="G72" s="13"/>
      <c r="H72" s="13"/>
      <c r="I72" s="13"/>
      <c r="J72" s="13"/>
      <c r="K72" s="13" t="str">
        <f>IF(A72&lt;&gt;"",VLOOKUP(A72,Variables!$A:$C,3,FALSE),"")</f>
        <v/>
      </c>
    </row>
    <row r="73" spans="1:11" customFormat="1" x14ac:dyDescent="0.2">
      <c r="A73" s="11" t="s">
        <v>125</v>
      </c>
      <c r="B73" s="11">
        <v>3</v>
      </c>
      <c r="C73" s="11"/>
      <c r="D73" s="21" t="s">
        <v>129</v>
      </c>
      <c r="E73" s="5" t="str">
        <f t="shared" si="3"/>
        <v>q6e</v>
      </c>
      <c r="F73" s="5">
        <f t="shared" si="4"/>
        <v>0</v>
      </c>
      <c r="G73" s="13"/>
      <c r="H73" s="13"/>
      <c r="I73" s="13"/>
      <c r="J73" s="13"/>
      <c r="K73" s="13" t="str">
        <f>IF(A73&lt;&gt;"",VLOOKUP(A73,Variables!$A:$C,3,FALSE),"")</f>
        <v/>
      </c>
    </row>
    <row r="74" spans="1:11" customFormat="1" x14ac:dyDescent="0.2">
      <c r="A74" s="11" t="s">
        <v>125</v>
      </c>
      <c r="B74" s="11">
        <v>4</v>
      </c>
      <c r="C74" s="11"/>
      <c r="D74" s="21" t="s">
        <v>130</v>
      </c>
      <c r="E74" s="5" t="str">
        <f t="shared" si="3"/>
        <v>q6e</v>
      </c>
      <c r="F74" s="5">
        <f t="shared" si="4"/>
        <v>0</v>
      </c>
      <c r="G74" s="13"/>
      <c r="H74" s="13"/>
      <c r="I74" s="13"/>
      <c r="J74" s="13"/>
      <c r="K74" s="13" t="str">
        <f>IF(A74&lt;&gt;"",VLOOKUP(A74,Variables!$A:$C,3,FALSE),"")</f>
        <v/>
      </c>
    </row>
    <row r="75" spans="1:11" customFormat="1" x14ac:dyDescent="0.2">
      <c r="A75" s="11" t="s">
        <v>125</v>
      </c>
      <c r="B75" s="11">
        <v>5</v>
      </c>
      <c r="C75" s="11"/>
      <c r="D75" s="21" t="s">
        <v>131</v>
      </c>
      <c r="E75" s="5" t="str">
        <f t="shared" si="3"/>
        <v>q6e</v>
      </c>
      <c r="F75" s="5">
        <f t="shared" si="4"/>
        <v>0</v>
      </c>
      <c r="G75" s="13"/>
      <c r="H75" s="13"/>
      <c r="I75" s="13"/>
      <c r="J75" s="13"/>
      <c r="K75" s="13" t="str">
        <f>IF(A75&lt;&gt;"",VLOOKUP(A75,Variables!$A:$C,3,FALSE),"")</f>
        <v/>
      </c>
    </row>
    <row r="76" spans="1:11" customFormat="1" x14ac:dyDescent="0.2">
      <c r="A76" s="11" t="s">
        <v>125</v>
      </c>
      <c r="B76" s="11">
        <v>98</v>
      </c>
      <c r="C76" s="11"/>
      <c r="D76" s="21"/>
      <c r="E76" s="5" t="str">
        <f t="shared" si="3"/>
        <v>q6e</v>
      </c>
      <c r="F76" s="5">
        <f t="shared" si="4"/>
        <v>0</v>
      </c>
      <c r="G76" s="13"/>
      <c r="H76" s="13"/>
      <c r="I76" s="13"/>
      <c r="J76" s="13"/>
      <c r="K76" s="13" t="str">
        <f>IF(A76&lt;&gt;"",VLOOKUP(A76,Variables!$A:$C,3,FALSE),"")</f>
        <v/>
      </c>
    </row>
    <row r="77" spans="1:11" customFormat="1" x14ac:dyDescent="0.2">
      <c r="A77" s="11" t="s">
        <v>125</v>
      </c>
      <c r="B77" s="11">
        <v>99</v>
      </c>
      <c r="C77" s="11"/>
      <c r="D77" s="21"/>
      <c r="E77" s="5" t="str">
        <f t="shared" si="3"/>
        <v>q6e</v>
      </c>
      <c r="F77" s="5">
        <f t="shared" si="4"/>
        <v>0</v>
      </c>
      <c r="G77" s="13"/>
      <c r="H77" s="13"/>
      <c r="I77" s="13"/>
      <c r="J77" s="13"/>
      <c r="K77" s="13" t="str">
        <f>IF(A77&lt;&gt;"",VLOOKUP(A77,Variables!$A:$C,3,FALSE),"")</f>
        <v/>
      </c>
    </row>
    <row r="78" spans="1:11" customFormat="1" x14ac:dyDescent="0.2">
      <c r="A78" s="11" t="s">
        <v>81</v>
      </c>
      <c r="B78" s="11">
        <v>-2</v>
      </c>
      <c r="C78" s="11"/>
      <c r="D78" s="21"/>
      <c r="E78" s="5" t="str">
        <f t="shared" si="3"/>
        <v>q6f</v>
      </c>
      <c r="F78" s="5">
        <f t="shared" si="4"/>
        <v>0</v>
      </c>
      <c r="G78" s="13"/>
      <c r="H78" s="13"/>
      <c r="I78" s="13"/>
      <c r="J78" s="13"/>
      <c r="K78" s="13">
        <f>IF(A78&lt;&gt;"",VLOOKUP(A78,Variables!$A:$C,3,FALSE),"")</f>
        <v>0</v>
      </c>
    </row>
    <row r="79" spans="1:11" customFormat="1" x14ac:dyDescent="0.2">
      <c r="A79" s="11" t="s">
        <v>125</v>
      </c>
      <c r="B79" s="11">
        <v>1</v>
      </c>
      <c r="C79" s="11"/>
      <c r="D79" s="21" t="s">
        <v>127</v>
      </c>
      <c r="E79" s="5" t="str">
        <f t="shared" si="3"/>
        <v>q6f</v>
      </c>
      <c r="F79" s="5">
        <f t="shared" si="4"/>
        <v>0</v>
      </c>
      <c r="G79" s="13"/>
      <c r="H79" s="13"/>
      <c r="I79" s="13"/>
      <c r="J79" s="13"/>
      <c r="K79" s="13" t="str">
        <f>IF(A79&lt;&gt;"",VLOOKUP(A79,Variables!$A:$C,3,FALSE),"")</f>
        <v/>
      </c>
    </row>
    <row r="80" spans="1:11" customFormat="1" x14ac:dyDescent="0.2">
      <c r="A80" s="11" t="s">
        <v>125</v>
      </c>
      <c r="B80" s="11">
        <v>2</v>
      </c>
      <c r="C80" s="11"/>
      <c r="D80" s="21" t="s">
        <v>128</v>
      </c>
      <c r="E80" s="5" t="str">
        <f t="shared" si="3"/>
        <v>q6f</v>
      </c>
      <c r="F80" s="5">
        <f t="shared" si="4"/>
        <v>0</v>
      </c>
      <c r="G80" s="13"/>
      <c r="H80" s="13"/>
      <c r="I80" s="13"/>
      <c r="J80" s="13"/>
      <c r="K80" s="13" t="str">
        <f>IF(A80&lt;&gt;"",VLOOKUP(A80,Variables!$A:$C,3,FALSE),"")</f>
        <v/>
      </c>
    </row>
    <row r="81" spans="1:11" customFormat="1" x14ac:dyDescent="0.2">
      <c r="A81" s="11" t="s">
        <v>125</v>
      </c>
      <c r="B81" s="11">
        <v>3</v>
      </c>
      <c r="C81" s="11"/>
      <c r="D81" s="21" t="s">
        <v>129</v>
      </c>
      <c r="E81" s="5" t="str">
        <f t="shared" si="3"/>
        <v>q6f</v>
      </c>
      <c r="F81" s="5">
        <f t="shared" si="4"/>
        <v>0</v>
      </c>
      <c r="G81" s="13"/>
      <c r="H81" s="13"/>
      <c r="I81" s="13"/>
      <c r="J81" s="13"/>
      <c r="K81" s="13" t="str">
        <f>IF(A81&lt;&gt;"",VLOOKUP(A81,Variables!$A:$C,3,FALSE),"")</f>
        <v/>
      </c>
    </row>
    <row r="82" spans="1:11" customFormat="1" x14ac:dyDescent="0.2">
      <c r="A82" s="11" t="s">
        <v>125</v>
      </c>
      <c r="B82" s="11">
        <v>4</v>
      </c>
      <c r="C82" s="11"/>
      <c r="D82" s="21" t="s">
        <v>130</v>
      </c>
      <c r="E82" s="5" t="str">
        <f t="shared" si="3"/>
        <v>q6f</v>
      </c>
      <c r="F82" s="5">
        <f t="shared" si="4"/>
        <v>0</v>
      </c>
      <c r="G82" s="13"/>
      <c r="H82" s="13"/>
      <c r="I82" s="13"/>
      <c r="J82" s="13"/>
      <c r="K82" s="13" t="str">
        <f>IF(A82&lt;&gt;"",VLOOKUP(A82,Variables!$A:$C,3,FALSE),"")</f>
        <v/>
      </c>
    </row>
    <row r="83" spans="1:11" customFormat="1" x14ac:dyDescent="0.2">
      <c r="A83" s="11" t="s">
        <v>125</v>
      </c>
      <c r="B83" s="11">
        <v>5</v>
      </c>
      <c r="C83" s="11"/>
      <c r="D83" s="21" t="s">
        <v>131</v>
      </c>
      <c r="E83" s="5" t="str">
        <f t="shared" si="3"/>
        <v>q6f</v>
      </c>
      <c r="F83" s="5">
        <f t="shared" si="4"/>
        <v>0</v>
      </c>
      <c r="G83" s="13"/>
      <c r="H83" s="13"/>
      <c r="I83" s="13"/>
      <c r="J83" s="13"/>
      <c r="K83" s="13" t="str">
        <f>IF(A83&lt;&gt;"",VLOOKUP(A83,Variables!$A:$C,3,FALSE),"")</f>
        <v/>
      </c>
    </row>
    <row r="84" spans="1:11" customFormat="1" x14ac:dyDescent="0.2">
      <c r="A84" s="11" t="s">
        <v>125</v>
      </c>
      <c r="B84" s="11">
        <v>98</v>
      </c>
      <c r="C84" s="11"/>
      <c r="D84" s="21"/>
      <c r="E84" s="5" t="str">
        <f t="shared" si="3"/>
        <v>q6f</v>
      </c>
      <c r="F84" s="5">
        <f t="shared" si="4"/>
        <v>0</v>
      </c>
      <c r="G84" s="13"/>
      <c r="H84" s="13"/>
      <c r="I84" s="13"/>
      <c r="J84" s="13"/>
      <c r="K84" s="13" t="str">
        <f>IF(A84&lt;&gt;"",VLOOKUP(A84,Variables!$A:$C,3,FALSE),"")</f>
        <v/>
      </c>
    </row>
    <row r="85" spans="1:11" customFormat="1" x14ac:dyDescent="0.2">
      <c r="A85" s="11" t="s">
        <v>125</v>
      </c>
      <c r="B85" s="11">
        <v>99</v>
      </c>
      <c r="C85" s="11"/>
      <c r="D85" s="21"/>
      <c r="E85" s="5" t="str">
        <f t="shared" si="3"/>
        <v>q6f</v>
      </c>
      <c r="F85" s="5">
        <f t="shared" si="4"/>
        <v>0</v>
      </c>
      <c r="G85" s="13"/>
      <c r="H85" s="13"/>
      <c r="I85" s="13"/>
      <c r="J85" s="13"/>
      <c r="K85" s="13" t="str">
        <f>IF(A85&lt;&gt;"",VLOOKUP(A85,Variables!$A:$C,3,FALSE),"")</f>
        <v/>
      </c>
    </row>
    <row r="86" spans="1:11" customFormat="1" x14ac:dyDescent="0.2">
      <c r="A86" s="11" t="s">
        <v>82</v>
      </c>
      <c r="B86" s="11">
        <v>-2</v>
      </c>
      <c r="C86" s="11"/>
      <c r="D86" s="21"/>
      <c r="E86" s="5" t="str">
        <f t="shared" si="3"/>
        <v>q6g</v>
      </c>
      <c r="F86" s="5">
        <f t="shared" si="4"/>
        <v>0</v>
      </c>
      <c r="G86" s="13"/>
      <c r="H86" s="13"/>
      <c r="I86" s="13"/>
      <c r="J86" s="13"/>
      <c r="K86" s="13">
        <f>IF(A86&lt;&gt;"",VLOOKUP(A86,Variables!$A:$C,3,FALSE),"")</f>
        <v>0</v>
      </c>
    </row>
    <row r="87" spans="1:11" customFormat="1" x14ac:dyDescent="0.2">
      <c r="A87" s="11" t="s">
        <v>125</v>
      </c>
      <c r="B87" s="11">
        <v>1</v>
      </c>
      <c r="C87" s="11"/>
      <c r="D87" s="21" t="s">
        <v>127</v>
      </c>
      <c r="E87" s="5" t="str">
        <f t="shared" si="3"/>
        <v>q6g</v>
      </c>
      <c r="F87" s="5">
        <f t="shared" si="4"/>
        <v>0</v>
      </c>
      <c r="G87" s="13"/>
      <c r="H87" s="13"/>
      <c r="I87" s="13"/>
      <c r="J87" s="13"/>
      <c r="K87" s="13" t="str">
        <f>IF(A87&lt;&gt;"",VLOOKUP(A87,Variables!$A:$C,3,FALSE),"")</f>
        <v/>
      </c>
    </row>
    <row r="88" spans="1:11" customFormat="1" x14ac:dyDescent="0.2">
      <c r="A88" s="11" t="s">
        <v>125</v>
      </c>
      <c r="B88" s="11">
        <v>2</v>
      </c>
      <c r="C88" s="11"/>
      <c r="D88" s="21" t="s">
        <v>128</v>
      </c>
      <c r="E88" s="5" t="str">
        <f t="shared" si="3"/>
        <v>q6g</v>
      </c>
      <c r="F88" s="5">
        <f t="shared" si="4"/>
        <v>0</v>
      </c>
      <c r="G88" s="13"/>
      <c r="H88" s="13"/>
      <c r="I88" s="13"/>
      <c r="J88" s="13"/>
      <c r="K88" s="13" t="str">
        <f>IF(A88&lt;&gt;"",VLOOKUP(A88,Variables!$A:$C,3,FALSE),"")</f>
        <v/>
      </c>
    </row>
    <row r="89" spans="1:11" customFormat="1" x14ac:dyDescent="0.2">
      <c r="A89" s="11" t="s">
        <v>125</v>
      </c>
      <c r="B89" s="11">
        <v>3</v>
      </c>
      <c r="C89" s="11"/>
      <c r="D89" s="21" t="s">
        <v>129</v>
      </c>
      <c r="E89" s="5" t="str">
        <f t="shared" si="3"/>
        <v>q6g</v>
      </c>
      <c r="F89" s="5">
        <f t="shared" si="4"/>
        <v>0</v>
      </c>
      <c r="G89" s="13"/>
      <c r="H89" s="13"/>
      <c r="I89" s="13"/>
      <c r="J89" s="13"/>
      <c r="K89" s="13" t="str">
        <f>IF(A89&lt;&gt;"",VLOOKUP(A89,Variables!$A:$C,3,FALSE),"")</f>
        <v/>
      </c>
    </row>
    <row r="90" spans="1:11" customFormat="1" x14ac:dyDescent="0.2">
      <c r="A90" s="11" t="s">
        <v>125</v>
      </c>
      <c r="B90" s="11">
        <v>4</v>
      </c>
      <c r="C90" s="11"/>
      <c r="D90" s="21" t="s">
        <v>130</v>
      </c>
      <c r="E90" s="5" t="str">
        <f t="shared" si="3"/>
        <v>q6g</v>
      </c>
      <c r="F90" s="5">
        <f t="shared" si="4"/>
        <v>0</v>
      </c>
      <c r="G90" s="13"/>
      <c r="H90" s="13"/>
      <c r="I90" s="13"/>
      <c r="J90" s="13"/>
      <c r="K90" s="13" t="str">
        <f>IF(A90&lt;&gt;"",VLOOKUP(A90,Variables!$A:$C,3,FALSE),"")</f>
        <v/>
      </c>
    </row>
    <row r="91" spans="1:11" customFormat="1" x14ac:dyDescent="0.2">
      <c r="A91" s="11" t="s">
        <v>125</v>
      </c>
      <c r="B91" s="11">
        <v>5</v>
      </c>
      <c r="C91" s="11"/>
      <c r="D91" s="21" t="s">
        <v>131</v>
      </c>
      <c r="E91" s="5" t="str">
        <f t="shared" si="3"/>
        <v>q6g</v>
      </c>
      <c r="F91" s="5">
        <f t="shared" si="4"/>
        <v>0</v>
      </c>
      <c r="G91" s="13"/>
      <c r="H91" s="13"/>
      <c r="I91" s="13"/>
      <c r="J91" s="13"/>
      <c r="K91" s="13" t="str">
        <f>IF(A91&lt;&gt;"",VLOOKUP(A91,Variables!$A:$C,3,FALSE),"")</f>
        <v/>
      </c>
    </row>
    <row r="92" spans="1:11" customFormat="1" x14ac:dyDescent="0.2">
      <c r="A92" s="11" t="s">
        <v>125</v>
      </c>
      <c r="B92" s="11">
        <v>98</v>
      </c>
      <c r="C92" s="11"/>
      <c r="D92" s="21"/>
      <c r="E92" s="5" t="str">
        <f t="shared" si="3"/>
        <v>q6g</v>
      </c>
      <c r="F92" s="5">
        <f t="shared" si="4"/>
        <v>0</v>
      </c>
      <c r="G92" s="13"/>
      <c r="H92" s="13"/>
      <c r="I92" s="13"/>
      <c r="J92" s="13"/>
      <c r="K92" s="13" t="str">
        <f>IF(A92&lt;&gt;"",VLOOKUP(A92,Variables!$A:$C,3,FALSE),"")</f>
        <v/>
      </c>
    </row>
    <row r="93" spans="1:11" customFormat="1" x14ac:dyDescent="0.2">
      <c r="A93" s="11" t="s">
        <v>125</v>
      </c>
      <c r="B93" s="11">
        <v>99</v>
      </c>
      <c r="C93" s="11"/>
      <c r="D93" s="21"/>
      <c r="E93" s="5" t="str">
        <f t="shared" si="3"/>
        <v>q6g</v>
      </c>
      <c r="F93" s="5">
        <f t="shared" si="4"/>
        <v>0</v>
      </c>
      <c r="G93" s="13"/>
      <c r="H93" s="13"/>
      <c r="I93" s="13"/>
      <c r="J93" s="13"/>
      <c r="K93" s="13" t="str">
        <f>IF(A93&lt;&gt;"",VLOOKUP(A93,Variables!$A:$C,3,FALSE),"")</f>
        <v/>
      </c>
    </row>
    <row r="94" spans="1:11" customFormat="1" x14ac:dyDescent="0.2">
      <c r="A94" s="11" t="s">
        <v>345</v>
      </c>
      <c r="B94" s="11">
        <v>-2</v>
      </c>
      <c r="C94" s="11"/>
      <c r="D94" s="21"/>
      <c r="E94" s="5" t="str">
        <f t="shared" si="3"/>
        <v>q6h</v>
      </c>
      <c r="F94" s="5">
        <f t="shared" si="4"/>
        <v>0</v>
      </c>
      <c r="G94" s="13"/>
      <c r="H94" s="13"/>
      <c r="I94" s="13"/>
      <c r="J94" s="13"/>
      <c r="K94" s="13">
        <f>IF(A94&lt;&gt;"",VLOOKUP(A94,Variables!$A:$C,3,FALSE),"")</f>
        <v>0</v>
      </c>
    </row>
    <row r="95" spans="1:11" customFormat="1" x14ac:dyDescent="0.2">
      <c r="A95" s="11" t="s">
        <v>125</v>
      </c>
      <c r="B95" s="11">
        <v>1</v>
      </c>
      <c r="C95" s="11"/>
      <c r="D95" s="21" t="s">
        <v>127</v>
      </c>
      <c r="E95" s="5" t="str">
        <f t="shared" si="3"/>
        <v>q6h</v>
      </c>
      <c r="F95" s="5">
        <f t="shared" si="4"/>
        <v>0</v>
      </c>
      <c r="G95" s="13"/>
      <c r="H95" s="13"/>
      <c r="I95" s="13"/>
      <c r="J95" s="13"/>
      <c r="K95" s="13" t="str">
        <f>IF(A95&lt;&gt;"",VLOOKUP(A95,Variables!$A:$C,3,FALSE),"")</f>
        <v/>
      </c>
    </row>
    <row r="96" spans="1:11" customFormat="1" x14ac:dyDescent="0.2">
      <c r="A96" s="11" t="s">
        <v>125</v>
      </c>
      <c r="B96" s="11">
        <v>2</v>
      </c>
      <c r="C96" s="11"/>
      <c r="D96" s="21" t="s">
        <v>128</v>
      </c>
      <c r="E96" s="5" t="str">
        <f t="shared" si="3"/>
        <v>q6h</v>
      </c>
      <c r="F96" s="5">
        <f t="shared" si="4"/>
        <v>0</v>
      </c>
      <c r="G96" s="13"/>
      <c r="H96" s="13"/>
      <c r="I96" s="13"/>
      <c r="J96" s="13"/>
      <c r="K96" s="13" t="str">
        <f>IF(A96&lt;&gt;"",VLOOKUP(A96,Variables!$A:$C,3,FALSE),"")</f>
        <v/>
      </c>
    </row>
    <row r="97" spans="1:11" customFormat="1" x14ac:dyDescent="0.2">
      <c r="A97" s="11" t="s">
        <v>125</v>
      </c>
      <c r="B97" s="11">
        <v>3</v>
      </c>
      <c r="C97" s="11"/>
      <c r="D97" s="21" t="s">
        <v>129</v>
      </c>
      <c r="E97" s="5" t="str">
        <f t="shared" si="3"/>
        <v>q6h</v>
      </c>
      <c r="F97" s="5">
        <f t="shared" si="4"/>
        <v>0</v>
      </c>
      <c r="G97" s="13"/>
      <c r="H97" s="13"/>
      <c r="I97" s="13"/>
      <c r="J97" s="13"/>
      <c r="K97" s="13" t="str">
        <f>IF(A97&lt;&gt;"",VLOOKUP(A97,Variables!$A:$C,3,FALSE),"")</f>
        <v/>
      </c>
    </row>
    <row r="98" spans="1:11" customFormat="1" x14ac:dyDescent="0.2">
      <c r="A98" s="11" t="s">
        <v>125</v>
      </c>
      <c r="B98" s="11">
        <v>4</v>
      </c>
      <c r="C98" s="11"/>
      <c r="D98" s="21" t="s">
        <v>130</v>
      </c>
      <c r="E98" s="5" t="str">
        <f t="shared" si="3"/>
        <v>q6h</v>
      </c>
      <c r="F98" s="5">
        <f t="shared" si="4"/>
        <v>0</v>
      </c>
      <c r="G98" s="13"/>
      <c r="H98" s="13"/>
      <c r="I98" s="13"/>
      <c r="J98" s="13"/>
      <c r="K98" s="13" t="str">
        <f>IF(A98&lt;&gt;"",VLOOKUP(A98,Variables!$A:$C,3,FALSE),"")</f>
        <v/>
      </c>
    </row>
    <row r="99" spans="1:11" customFormat="1" x14ac:dyDescent="0.2">
      <c r="A99" s="11" t="s">
        <v>125</v>
      </c>
      <c r="B99" s="11">
        <v>5</v>
      </c>
      <c r="C99" s="11"/>
      <c r="D99" s="21" t="s">
        <v>131</v>
      </c>
      <c r="E99" s="5" t="str">
        <f t="shared" ref="E99:E109" si="5">IF(A99&lt;&gt;"",IF(V_LabelvorVariablen=TRUE,A99,IF(VLOOKUP(A99,V_VariablenEigenschaften,12,FALSE)="",A99,VLOOKUP(A99,V_VariablenEigenschaften,12,FALSE))),E98)</f>
        <v>q6h</v>
      </c>
      <c r="F99" s="5">
        <f t="shared" si="4"/>
        <v>0</v>
      </c>
      <c r="G99" s="13"/>
      <c r="H99" s="13"/>
      <c r="I99" s="13"/>
      <c r="J99" s="13"/>
      <c r="K99" s="13" t="str">
        <f>IF(A99&lt;&gt;"",VLOOKUP(A99,Variables!$A:$C,3,FALSE),"")</f>
        <v/>
      </c>
    </row>
    <row r="100" spans="1:11" customFormat="1" x14ac:dyDescent="0.2">
      <c r="A100" s="11" t="s">
        <v>125</v>
      </c>
      <c r="B100" s="11">
        <v>98</v>
      </c>
      <c r="C100" s="11"/>
      <c r="D100" s="21"/>
      <c r="E100" s="5" t="str">
        <f t="shared" si="5"/>
        <v>q6h</v>
      </c>
      <c r="F100" s="5">
        <f t="shared" si="4"/>
        <v>0</v>
      </c>
      <c r="G100" s="13"/>
      <c r="H100" s="13"/>
      <c r="I100" s="13"/>
      <c r="J100" s="13"/>
      <c r="K100" s="13" t="str">
        <f>IF(A100&lt;&gt;"",VLOOKUP(A100,Variables!$A:$C,3,FALSE),"")</f>
        <v/>
      </c>
    </row>
    <row r="101" spans="1:11" customFormat="1" x14ac:dyDescent="0.2">
      <c r="A101" s="11" t="s">
        <v>125</v>
      </c>
      <c r="B101" s="11">
        <v>99</v>
      </c>
      <c r="C101" s="11"/>
      <c r="D101" s="21"/>
      <c r="E101" s="5" t="str">
        <f t="shared" si="5"/>
        <v>q6h</v>
      </c>
      <c r="F101" s="5">
        <f t="shared" si="4"/>
        <v>0</v>
      </c>
      <c r="G101" s="13"/>
      <c r="H101" s="13"/>
      <c r="I101" s="13"/>
      <c r="J101" s="13"/>
      <c r="K101" s="13" t="str">
        <f>IF(A101&lt;&gt;"",VLOOKUP(A101,Variables!$A:$C,3,FALSE),"")</f>
        <v/>
      </c>
    </row>
    <row r="102" spans="1:11" customFormat="1" x14ac:dyDescent="0.2">
      <c r="A102" s="11" t="s">
        <v>92</v>
      </c>
      <c r="B102" s="11">
        <v>-2</v>
      </c>
      <c r="C102" s="11"/>
      <c r="D102" s="21"/>
      <c r="E102" s="5" t="str">
        <f t="shared" si="5"/>
        <v>sel1</v>
      </c>
      <c r="F102" s="5">
        <f t="shared" si="4"/>
        <v>0</v>
      </c>
      <c r="G102" s="13"/>
      <c r="H102" s="13"/>
      <c r="I102" s="13"/>
      <c r="J102" s="13"/>
      <c r="K102" s="13">
        <f>IF(A102&lt;&gt;"",VLOOKUP(A102,Variables!$A:$C,3,FALSE),"")</f>
        <v>0</v>
      </c>
    </row>
    <row r="103" spans="1:11" customFormat="1" x14ac:dyDescent="0.2">
      <c r="A103" s="11" t="s">
        <v>125</v>
      </c>
      <c r="B103" s="11">
        <v>1</v>
      </c>
      <c r="C103" s="11"/>
      <c r="D103" s="21"/>
      <c r="E103" s="5" t="str">
        <f t="shared" si="5"/>
        <v>sel1</v>
      </c>
      <c r="F103" s="5">
        <f t="shared" si="4"/>
        <v>0</v>
      </c>
      <c r="G103" s="13"/>
      <c r="H103" s="13"/>
      <c r="I103" s="13"/>
      <c r="J103" s="13"/>
      <c r="K103" s="13" t="str">
        <f>IF(A103&lt;&gt;"",VLOOKUP(A103,Variables!$A:$C,3,FALSE),"")</f>
        <v/>
      </c>
    </row>
    <row r="104" spans="1:11" customFormat="1" x14ac:dyDescent="0.2">
      <c r="A104" s="11" t="s">
        <v>125</v>
      </c>
      <c r="B104" s="11">
        <v>2</v>
      </c>
      <c r="C104" s="11"/>
      <c r="D104" s="21"/>
      <c r="E104" s="5" t="str">
        <f t="shared" si="5"/>
        <v>sel1</v>
      </c>
      <c r="F104" s="5">
        <f t="shared" si="4"/>
        <v>0</v>
      </c>
      <c r="G104" s="13"/>
      <c r="H104" s="13"/>
      <c r="I104" s="13"/>
      <c r="J104" s="13"/>
      <c r="K104" s="13" t="str">
        <f>IF(A104&lt;&gt;"",VLOOKUP(A104,Variables!$A:$C,3,FALSE),"")</f>
        <v/>
      </c>
    </row>
    <row r="105" spans="1:11" customFormat="1" x14ac:dyDescent="0.2">
      <c r="A105" s="11" t="s">
        <v>125</v>
      </c>
      <c r="B105" s="11">
        <v>3</v>
      </c>
      <c r="C105" s="11"/>
      <c r="D105" s="21"/>
      <c r="E105" s="5" t="str">
        <f t="shared" si="5"/>
        <v>sel1</v>
      </c>
      <c r="F105" s="5">
        <f t="shared" si="4"/>
        <v>0</v>
      </c>
      <c r="G105" s="13"/>
      <c r="H105" s="13"/>
      <c r="I105" s="13"/>
      <c r="J105" s="13"/>
      <c r="K105" s="13" t="str">
        <f>IF(A105&lt;&gt;"",VLOOKUP(A105,Variables!$A:$C,3,FALSE),"")</f>
        <v/>
      </c>
    </row>
    <row r="106" spans="1:11" customFormat="1" x14ac:dyDescent="0.2">
      <c r="A106" s="11" t="s">
        <v>125</v>
      </c>
      <c r="B106" s="11">
        <v>4</v>
      </c>
      <c r="C106" s="11"/>
      <c r="D106" s="21"/>
      <c r="E106" s="5" t="str">
        <f t="shared" si="5"/>
        <v>sel1</v>
      </c>
      <c r="F106" s="5">
        <f t="shared" si="4"/>
        <v>0</v>
      </c>
      <c r="G106" s="13"/>
      <c r="H106" s="13"/>
      <c r="I106" s="13"/>
      <c r="J106" s="13"/>
      <c r="K106" s="13" t="str">
        <f>IF(A106&lt;&gt;"",VLOOKUP(A106,Variables!$A:$C,3,FALSE),"")</f>
        <v/>
      </c>
    </row>
    <row r="107" spans="1:11" customFormat="1" x14ac:dyDescent="0.2">
      <c r="A107" s="11" t="s">
        <v>125</v>
      </c>
      <c r="B107" s="11">
        <v>5</v>
      </c>
      <c r="C107" s="11"/>
      <c r="D107" s="21"/>
      <c r="E107" s="5" t="str">
        <f t="shared" si="5"/>
        <v>sel1</v>
      </c>
      <c r="F107" s="5">
        <f t="shared" si="4"/>
        <v>0</v>
      </c>
      <c r="G107" s="13"/>
      <c r="H107" s="13"/>
      <c r="I107" s="13"/>
      <c r="J107" s="13"/>
      <c r="K107" s="13" t="str">
        <f>IF(A107&lt;&gt;"",VLOOKUP(A107,Variables!$A:$C,3,FALSE),"")</f>
        <v/>
      </c>
    </row>
    <row r="108" spans="1:11" customFormat="1" x14ac:dyDescent="0.2">
      <c r="A108" s="11" t="s">
        <v>125</v>
      </c>
      <c r="B108" s="11">
        <v>6</v>
      </c>
      <c r="C108" s="11"/>
      <c r="D108" s="21"/>
      <c r="E108" s="5" t="str">
        <f t="shared" si="5"/>
        <v>sel1</v>
      </c>
      <c r="F108" s="5">
        <f t="shared" si="4"/>
        <v>0</v>
      </c>
      <c r="G108" s="13"/>
      <c r="H108" s="13"/>
      <c r="I108" s="13"/>
      <c r="J108" s="13"/>
      <c r="K108" s="13" t="str">
        <f>IF(A108&lt;&gt;"",VLOOKUP(A108,Variables!$A:$C,3,FALSE),"")</f>
        <v/>
      </c>
    </row>
    <row r="109" spans="1:11" customFormat="1" x14ac:dyDescent="0.2">
      <c r="A109" s="11" t="s">
        <v>125</v>
      </c>
      <c r="B109" s="11">
        <v>7</v>
      </c>
      <c r="C109" s="11"/>
      <c r="D109" s="21"/>
      <c r="E109" s="5" t="str">
        <f t="shared" si="5"/>
        <v>sel1</v>
      </c>
      <c r="F109" s="5">
        <f t="shared" si="4"/>
        <v>0</v>
      </c>
      <c r="G109" s="13"/>
      <c r="H109" s="13"/>
      <c r="I109" s="13"/>
      <c r="J109" s="13"/>
      <c r="K109" s="13" t="str">
        <f>IF(A109&lt;&gt;"",VLOOKUP(A109,Variables!$A:$C,3,FALSE),"")</f>
        <v/>
      </c>
    </row>
    <row r="110" spans="1:11" customFormat="1" x14ac:dyDescent="0.2">
      <c r="A110" s="11" t="s">
        <v>329</v>
      </c>
      <c r="B110" s="11">
        <v>-2</v>
      </c>
      <c r="C110" s="11"/>
      <c r="D110" s="21"/>
      <c r="E110" s="5" t="str">
        <f>IF(A110&lt;&gt;"",IF(V_LabelvorVariablen=TRUE,A110,IF(VLOOKUP(A110,V_VariablenEigenschaften,12,FALSE)="",A110,VLOOKUP(A110,V_VariablenEigenschaften,12,FALSE))),#REF!)</f>
        <v>q7a1</v>
      </c>
      <c r="F110" s="5">
        <f t="shared" ref="F110:F155" si="6">LEN(C110)</f>
        <v>0</v>
      </c>
      <c r="G110" s="13"/>
      <c r="H110" s="13"/>
      <c r="I110" s="13"/>
      <c r="J110" s="13"/>
      <c r="K110" s="13">
        <f>IF(A110&lt;&gt;"",VLOOKUP(A110,Variables!$A:$C,3,FALSE),"")</f>
        <v>0</v>
      </c>
    </row>
    <row r="111" spans="1:11" customFormat="1" x14ac:dyDescent="0.2">
      <c r="A111" s="11" t="s">
        <v>125</v>
      </c>
      <c r="B111" s="11">
        <v>1</v>
      </c>
      <c r="C111" s="11"/>
      <c r="D111" s="21"/>
      <c r="E111" s="5" t="str">
        <f t="shared" ref="E111:E174" si="7">IF(A111&lt;&gt;"",IF(V_LabelvorVariablen=TRUE,A111,IF(VLOOKUP(A111,V_VariablenEigenschaften,12,FALSE)="",A111,VLOOKUP(A111,V_VariablenEigenschaften,12,FALSE))),E110)</f>
        <v>q7a1</v>
      </c>
      <c r="F111" s="5">
        <f t="shared" si="6"/>
        <v>0</v>
      </c>
      <c r="G111" s="13"/>
      <c r="H111" s="13"/>
      <c r="I111" s="13"/>
      <c r="J111" s="13"/>
      <c r="K111" s="13" t="str">
        <f>IF(A111&lt;&gt;"",VLOOKUP(A111,Variables!$A:$C,3,FALSE),"")</f>
        <v/>
      </c>
    </row>
    <row r="112" spans="1:11" customFormat="1" x14ac:dyDescent="0.2">
      <c r="A112" s="11" t="s">
        <v>125</v>
      </c>
      <c r="B112" s="11">
        <v>2</v>
      </c>
      <c r="C112" s="11"/>
      <c r="D112" s="21"/>
      <c r="E112" s="5" t="str">
        <f t="shared" si="7"/>
        <v>q7a1</v>
      </c>
      <c r="F112" s="5">
        <f t="shared" si="6"/>
        <v>0</v>
      </c>
      <c r="G112" s="13"/>
      <c r="H112" s="13"/>
      <c r="I112" s="13"/>
      <c r="J112" s="13"/>
      <c r="K112" s="13" t="str">
        <f>IF(A112&lt;&gt;"",VLOOKUP(A112,Variables!$A:$C,3,FALSE),"")</f>
        <v/>
      </c>
    </row>
    <row r="113" spans="1:11" customFormat="1" x14ac:dyDescent="0.2">
      <c r="A113" s="11" t="s">
        <v>125</v>
      </c>
      <c r="B113" s="11">
        <v>3</v>
      </c>
      <c r="C113" s="11"/>
      <c r="D113" s="21"/>
      <c r="E113" s="5" t="str">
        <f t="shared" si="7"/>
        <v>q7a1</v>
      </c>
      <c r="F113" s="5">
        <f t="shared" si="6"/>
        <v>0</v>
      </c>
      <c r="G113" s="13"/>
      <c r="H113" s="13"/>
      <c r="I113" s="13"/>
      <c r="J113" s="13"/>
      <c r="K113" s="13" t="str">
        <f>IF(A113&lt;&gt;"",VLOOKUP(A113,Variables!$A:$C,3,FALSE),"")</f>
        <v/>
      </c>
    </row>
    <row r="114" spans="1:11" customFormat="1" x14ac:dyDescent="0.2">
      <c r="A114" s="11" t="s">
        <v>125</v>
      </c>
      <c r="B114" s="11">
        <v>4</v>
      </c>
      <c r="C114" s="11"/>
      <c r="D114" s="21"/>
      <c r="E114" s="5" t="str">
        <f t="shared" si="7"/>
        <v>q7a1</v>
      </c>
      <c r="F114" s="5">
        <f t="shared" si="6"/>
        <v>0</v>
      </c>
      <c r="G114" s="13"/>
      <c r="H114" s="13"/>
      <c r="I114" s="13"/>
      <c r="J114" s="13"/>
      <c r="K114" s="13" t="str">
        <f>IF(A114&lt;&gt;"",VLOOKUP(A114,Variables!$A:$C,3,FALSE),"")</f>
        <v/>
      </c>
    </row>
    <row r="115" spans="1:11" customFormat="1" x14ac:dyDescent="0.2">
      <c r="A115" s="11" t="s">
        <v>125</v>
      </c>
      <c r="B115" s="11">
        <v>5</v>
      </c>
      <c r="C115" s="11"/>
      <c r="D115" s="21"/>
      <c r="E115" s="5" t="str">
        <f t="shared" si="7"/>
        <v>q7a1</v>
      </c>
      <c r="F115" s="5">
        <f t="shared" si="6"/>
        <v>0</v>
      </c>
      <c r="G115" s="13"/>
      <c r="H115" s="13"/>
      <c r="I115" s="13"/>
      <c r="J115" s="13"/>
      <c r="K115" s="13" t="str">
        <f>IF(A115&lt;&gt;"",VLOOKUP(A115,Variables!$A:$C,3,FALSE),"")</f>
        <v/>
      </c>
    </row>
    <row r="116" spans="1:11" customFormat="1" x14ac:dyDescent="0.2">
      <c r="A116" s="11" t="s">
        <v>125</v>
      </c>
      <c r="B116" s="11">
        <v>6</v>
      </c>
      <c r="C116" s="11"/>
      <c r="D116" s="21"/>
      <c r="E116" s="5" t="str">
        <f t="shared" si="7"/>
        <v>q7a1</v>
      </c>
      <c r="F116" s="5">
        <f t="shared" si="6"/>
        <v>0</v>
      </c>
      <c r="G116" s="13"/>
      <c r="H116" s="13"/>
      <c r="I116" s="13"/>
      <c r="J116" s="13"/>
      <c r="K116" s="13" t="str">
        <f>IF(A116&lt;&gt;"",VLOOKUP(A116,Variables!$A:$C,3,FALSE),"")</f>
        <v/>
      </c>
    </row>
    <row r="117" spans="1:11" customFormat="1" x14ac:dyDescent="0.2">
      <c r="A117" s="11" t="s">
        <v>125</v>
      </c>
      <c r="B117" s="11">
        <v>7</v>
      </c>
      <c r="C117" s="11"/>
      <c r="D117" s="21"/>
      <c r="E117" s="5" t="str">
        <f t="shared" si="7"/>
        <v>q7a1</v>
      </c>
      <c r="F117" s="5">
        <f t="shared" si="6"/>
        <v>0</v>
      </c>
      <c r="G117" s="13"/>
      <c r="H117" s="13"/>
      <c r="I117" s="13"/>
      <c r="J117" s="13"/>
      <c r="K117" s="13" t="str">
        <f>IF(A117&lt;&gt;"",VLOOKUP(A117,Variables!$A:$C,3,FALSE),"")</f>
        <v/>
      </c>
    </row>
    <row r="118" spans="1:11" customFormat="1" x14ac:dyDescent="0.2">
      <c r="A118" s="11" t="s">
        <v>125</v>
      </c>
      <c r="B118" s="11">
        <v>8</v>
      </c>
      <c r="C118" s="11"/>
      <c r="D118" s="21"/>
      <c r="E118" s="5" t="str">
        <f t="shared" si="7"/>
        <v>q7a1</v>
      </c>
      <c r="F118" s="5">
        <f t="shared" si="6"/>
        <v>0</v>
      </c>
      <c r="G118" s="13"/>
      <c r="H118" s="13"/>
      <c r="I118" s="13"/>
      <c r="J118" s="13"/>
      <c r="K118" s="13" t="str">
        <f>IF(A118&lt;&gt;"",VLOOKUP(A118,Variables!$A:$C,3,FALSE),"")</f>
        <v/>
      </c>
    </row>
    <row r="119" spans="1:11" customFormat="1" ht="12.75" customHeight="1" x14ac:dyDescent="0.2">
      <c r="A119" s="11" t="s">
        <v>125</v>
      </c>
      <c r="B119" s="11">
        <v>9</v>
      </c>
      <c r="C119" s="11"/>
      <c r="D119" s="21"/>
      <c r="E119" s="5" t="str">
        <f t="shared" si="7"/>
        <v>q7a1</v>
      </c>
      <c r="F119" s="5">
        <f t="shared" si="6"/>
        <v>0</v>
      </c>
      <c r="G119" s="13"/>
      <c r="H119" s="13"/>
      <c r="I119" s="13"/>
      <c r="J119" s="13"/>
      <c r="K119" s="13" t="str">
        <f>IF(A119&lt;&gt;"",VLOOKUP(A119,Variables!$A:$C,3,FALSE),"")</f>
        <v/>
      </c>
    </row>
    <row r="120" spans="1:11" customFormat="1" ht="12.75" customHeight="1" x14ac:dyDescent="0.2">
      <c r="A120" s="11" t="s">
        <v>125</v>
      </c>
      <c r="B120" s="11">
        <v>10</v>
      </c>
      <c r="C120" s="11"/>
      <c r="D120" s="21"/>
      <c r="E120" s="5" t="str">
        <f t="shared" si="7"/>
        <v>q7a1</v>
      </c>
      <c r="F120" s="5">
        <f t="shared" si="6"/>
        <v>0</v>
      </c>
      <c r="G120" s="13"/>
      <c r="H120" s="13"/>
      <c r="I120" s="13"/>
      <c r="J120" s="13"/>
      <c r="K120" s="13" t="str">
        <f>IF(A120&lt;&gt;"",VLOOKUP(A120,Variables!$A:$C,3,FALSE),"")</f>
        <v/>
      </c>
    </row>
    <row r="121" spans="1:11" customFormat="1" ht="13.5" customHeight="1" x14ac:dyDescent="0.2">
      <c r="A121" s="11" t="s">
        <v>125</v>
      </c>
      <c r="B121" s="11">
        <v>99</v>
      </c>
      <c r="C121" s="11"/>
      <c r="D121" s="21"/>
      <c r="E121" s="5" t="str">
        <f t="shared" si="7"/>
        <v>q7a1</v>
      </c>
      <c r="F121" s="5">
        <f t="shared" si="6"/>
        <v>0</v>
      </c>
      <c r="G121" s="13"/>
      <c r="H121" s="13"/>
      <c r="I121" s="13"/>
      <c r="J121" s="13"/>
      <c r="K121" s="13" t="str">
        <f>IF(A121&lt;&gt;"",VLOOKUP(A121,Variables!$A:$C,3,FALSE),"")</f>
        <v/>
      </c>
    </row>
    <row r="122" spans="1:11" customFormat="1" ht="12.75" customHeight="1" x14ac:dyDescent="0.2">
      <c r="A122" s="11" t="s">
        <v>330</v>
      </c>
      <c r="B122" s="11">
        <v>-2</v>
      </c>
      <c r="C122" s="11"/>
      <c r="D122" s="21"/>
      <c r="E122" s="5" t="str">
        <f t="shared" si="7"/>
        <v>q7a2</v>
      </c>
      <c r="F122" s="5">
        <f t="shared" si="6"/>
        <v>0</v>
      </c>
      <c r="G122" s="13"/>
      <c r="H122" s="13"/>
      <c r="I122" s="13"/>
      <c r="J122" s="13"/>
      <c r="K122" s="13">
        <f>IF(A122&lt;&gt;"",VLOOKUP(A122,Variables!$A:$C,3,FALSE),"")</f>
        <v>0</v>
      </c>
    </row>
    <row r="123" spans="1:11" customFormat="1" ht="12.75" customHeight="1" x14ac:dyDescent="0.2">
      <c r="A123" s="11" t="s">
        <v>125</v>
      </c>
      <c r="B123" s="11">
        <v>1</v>
      </c>
      <c r="C123" s="11"/>
      <c r="D123" s="21"/>
      <c r="E123" s="5" t="str">
        <f t="shared" si="7"/>
        <v>q7a2</v>
      </c>
      <c r="F123" s="5">
        <f t="shared" si="6"/>
        <v>0</v>
      </c>
      <c r="G123" s="13"/>
      <c r="H123" s="13"/>
      <c r="I123" s="13"/>
      <c r="J123" s="13"/>
      <c r="K123" s="13" t="str">
        <f>IF(A123&lt;&gt;"",VLOOKUP(A123,Variables!$A:$C,3,FALSE),"")</f>
        <v/>
      </c>
    </row>
    <row r="124" spans="1:11" customFormat="1" ht="13.5" customHeight="1" x14ac:dyDescent="0.2">
      <c r="A124" s="11" t="s">
        <v>125</v>
      </c>
      <c r="B124" s="11">
        <v>2</v>
      </c>
      <c r="C124" s="11"/>
      <c r="D124" s="21"/>
      <c r="E124" s="5" t="str">
        <f t="shared" si="7"/>
        <v>q7a2</v>
      </c>
      <c r="F124" s="5">
        <f t="shared" si="6"/>
        <v>0</v>
      </c>
      <c r="G124" s="13"/>
      <c r="H124" s="13"/>
      <c r="I124" s="13"/>
      <c r="J124" s="13"/>
      <c r="K124" s="13" t="str">
        <f>IF(A124&lt;&gt;"",VLOOKUP(A124,Variables!$A:$C,3,FALSE),"")</f>
        <v/>
      </c>
    </row>
    <row r="125" spans="1:11" customFormat="1" x14ac:dyDescent="0.2">
      <c r="A125" s="11" t="s">
        <v>125</v>
      </c>
      <c r="B125" s="11">
        <v>3</v>
      </c>
      <c r="C125" s="11"/>
      <c r="D125" s="21"/>
      <c r="E125" s="5" t="str">
        <f t="shared" si="7"/>
        <v>q7a2</v>
      </c>
      <c r="F125" s="5">
        <f t="shared" si="6"/>
        <v>0</v>
      </c>
      <c r="G125" s="13"/>
      <c r="H125" s="13"/>
      <c r="I125" s="13"/>
      <c r="J125" s="13"/>
      <c r="K125" s="13" t="str">
        <f>IF(A125&lt;&gt;"",VLOOKUP(A125,Variables!$A:$C,3,FALSE),"")</f>
        <v/>
      </c>
    </row>
    <row r="126" spans="1:11" customFormat="1" x14ac:dyDescent="0.2">
      <c r="A126" s="11" t="s">
        <v>125</v>
      </c>
      <c r="B126" s="11">
        <v>4</v>
      </c>
      <c r="C126" s="11"/>
      <c r="D126" s="21"/>
      <c r="E126" s="5" t="str">
        <f t="shared" si="7"/>
        <v>q7a2</v>
      </c>
      <c r="F126" s="5">
        <f t="shared" si="6"/>
        <v>0</v>
      </c>
      <c r="G126" s="13"/>
      <c r="H126" s="13"/>
      <c r="I126" s="13"/>
      <c r="J126" s="13"/>
      <c r="K126" s="13" t="str">
        <f>IF(A126&lt;&gt;"",VLOOKUP(A126,Variables!$A:$C,3,FALSE),"")</f>
        <v/>
      </c>
    </row>
    <row r="127" spans="1:11" customFormat="1" x14ac:dyDescent="0.2">
      <c r="A127" s="11" t="s">
        <v>125</v>
      </c>
      <c r="B127" s="11">
        <v>5</v>
      </c>
      <c r="C127" s="11"/>
      <c r="D127" s="21"/>
      <c r="E127" s="5" t="str">
        <f t="shared" si="7"/>
        <v>q7a2</v>
      </c>
      <c r="F127" s="5">
        <f t="shared" si="6"/>
        <v>0</v>
      </c>
      <c r="G127" s="13"/>
      <c r="H127" s="13"/>
      <c r="I127" s="13"/>
      <c r="J127" s="13"/>
      <c r="K127" s="13" t="str">
        <f>IF(A127&lt;&gt;"",VLOOKUP(A127,Variables!$A:$C,3,FALSE),"")</f>
        <v/>
      </c>
    </row>
    <row r="128" spans="1:11" customFormat="1" x14ac:dyDescent="0.2">
      <c r="A128" s="11" t="s">
        <v>125</v>
      </c>
      <c r="B128" s="11">
        <v>6</v>
      </c>
      <c r="C128" s="11"/>
      <c r="D128" s="21"/>
      <c r="E128" s="5" t="str">
        <f t="shared" si="7"/>
        <v>q7a2</v>
      </c>
      <c r="F128" s="5">
        <f t="shared" si="6"/>
        <v>0</v>
      </c>
      <c r="G128" s="13"/>
      <c r="H128" s="13"/>
      <c r="I128" s="13"/>
      <c r="J128" s="13"/>
      <c r="K128" s="13" t="str">
        <f>IF(A128&lt;&gt;"",VLOOKUP(A128,Variables!$A:$C,3,FALSE),"")</f>
        <v/>
      </c>
    </row>
    <row r="129" spans="1:11" customFormat="1" x14ac:dyDescent="0.2">
      <c r="A129" s="11" t="s">
        <v>125</v>
      </c>
      <c r="B129" s="11">
        <v>7</v>
      </c>
      <c r="C129" s="11"/>
      <c r="D129" s="21"/>
      <c r="E129" s="5" t="str">
        <f t="shared" si="7"/>
        <v>q7a2</v>
      </c>
      <c r="F129" s="5">
        <f t="shared" si="6"/>
        <v>0</v>
      </c>
      <c r="G129" s="13"/>
      <c r="H129" s="13"/>
      <c r="I129" s="13"/>
      <c r="J129" s="13"/>
      <c r="K129" s="13" t="str">
        <f>IF(A129&lt;&gt;"",VLOOKUP(A129,Variables!$A:$C,3,FALSE),"")</f>
        <v/>
      </c>
    </row>
    <row r="130" spans="1:11" customFormat="1" x14ac:dyDescent="0.2">
      <c r="A130" s="11" t="s">
        <v>125</v>
      </c>
      <c r="B130" s="11">
        <v>8</v>
      </c>
      <c r="C130" s="11"/>
      <c r="D130" s="21"/>
      <c r="E130" s="5" t="str">
        <f t="shared" si="7"/>
        <v>q7a2</v>
      </c>
      <c r="F130" s="5">
        <f t="shared" si="6"/>
        <v>0</v>
      </c>
      <c r="G130" s="13"/>
      <c r="H130" s="13"/>
      <c r="I130" s="13"/>
      <c r="J130" s="13"/>
      <c r="K130" s="13" t="str">
        <f>IF(A130&lt;&gt;"",VLOOKUP(A130,Variables!$A:$C,3,FALSE),"")</f>
        <v/>
      </c>
    </row>
    <row r="131" spans="1:11" customFormat="1" x14ac:dyDescent="0.2">
      <c r="A131" s="11" t="s">
        <v>125</v>
      </c>
      <c r="B131" s="11">
        <v>9</v>
      </c>
      <c r="C131" s="11"/>
      <c r="D131" s="21"/>
      <c r="E131" s="5" t="str">
        <f t="shared" si="7"/>
        <v>q7a2</v>
      </c>
      <c r="F131" s="5">
        <f t="shared" si="6"/>
        <v>0</v>
      </c>
      <c r="G131" s="13"/>
      <c r="H131" s="13"/>
      <c r="I131" s="13"/>
      <c r="J131" s="13"/>
      <c r="K131" s="13" t="str">
        <f>IF(A131&lt;&gt;"",VLOOKUP(A131,Variables!$A:$C,3,FALSE),"")</f>
        <v/>
      </c>
    </row>
    <row r="132" spans="1:11" customFormat="1" x14ac:dyDescent="0.2">
      <c r="A132" s="11" t="s">
        <v>125</v>
      </c>
      <c r="B132" s="11">
        <v>10</v>
      </c>
      <c r="C132" s="11"/>
      <c r="D132" s="21"/>
      <c r="E132" s="5" t="str">
        <f t="shared" si="7"/>
        <v>q7a2</v>
      </c>
      <c r="F132" s="5">
        <f t="shared" si="6"/>
        <v>0</v>
      </c>
      <c r="G132" s="13"/>
      <c r="H132" s="13"/>
      <c r="I132" s="13"/>
      <c r="J132" s="13"/>
      <c r="K132" s="13" t="str">
        <f>IF(A132&lt;&gt;"",VLOOKUP(A132,Variables!$A:$C,3,FALSE),"")</f>
        <v/>
      </c>
    </row>
    <row r="133" spans="1:11" customFormat="1" x14ac:dyDescent="0.2">
      <c r="A133" s="11" t="s">
        <v>125</v>
      </c>
      <c r="B133" s="11">
        <v>99</v>
      </c>
      <c r="C133" s="11"/>
      <c r="D133" s="21"/>
      <c r="E133" s="5" t="str">
        <f t="shared" si="7"/>
        <v>q7a2</v>
      </c>
      <c r="F133" s="5">
        <f t="shared" si="6"/>
        <v>0</v>
      </c>
      <c r="G133" s="13"/>
      <c r="H133" s="13"/>
      <c r="I133" s="13"/>
      <c r="J133" s="13"/>
      <c r="K133" s="13" t="str">
        <f>IF(A133&lt;&gt;"",VLOOKUP(A133,Variables!$A:$C,3,FALSE),"")</f>
        <v/>
      </c>
    </row>
    <row r="134" spans="1:11" customFormat="1" x14ac:dyDescent="0.2">
      <c r="A134" s="11" t="s">
        <v>331</v>
      </c>
      <c r="B134" s="11">
        <v>-2</v>
      </c>
      <c r="C134" s="11"/>
      <c r="D134" s="21"/>
      <c r="E134" s="5" t="str">
        <f t="shared" si="7"/>
        <v>q7b1</v>
      </c>
      <c r="F134" s="5">
        <f t="shared" si="6"/>
        <v>0</v>
      </c>
      <c r="G134" s="13"/>
      <c r="H134" s="13"/>
      <c r="I134" s="13"/>
      <c r="J134" s="13"/>
      <c r="K134" s="13">
        <f>IF(A134&lt;&gt;"",VLOOKUP(A134,Variables!$A:$C,3,FALSE),"")</f>
        <v>0</v>
      </c>
    </row>
    <row r="135" spans="1:11" customFormat="1" x14ac:dyDescent="0.2">
      <c r="A135" s="11" t="s">
        <v>125</v>
      </c>
      <c r="B135" s="11">
        <v>1</v>
      </c>
      <c r="C135" s="11"/>
      <c r="D135" s="21"/>
      <c r="E135" s="5" t="str">
        <f t="shared" si="7"/>
        <v>q7b1</v>
      </c>
      <c r="F135" s="5">
        <f t="shared" si="6"/>
        <v>0</v>
      </c>
      <c r="G135" s="13"/>
      <c r="H135" s="13"/>
      <c r="I135" s="13"/>
      <c r="J135" s="13"/>
      <c r="K135" s="13" t="str">
        <f>IF(A135&lt;&gt;"",VLOOKUP(A135,Variables!$A:$C,3,FALSE),"")</f>
        <v/>
      </c>
    </row>
    <row r="136" spans="1:11" customFormat="1" x14ac:dyDescent="0.2">
      <c r="A136" s="11" t="s">
        <v>125</v>
      </c>
      <c r="B136" s="11">
        <v>2</v>
      </c>
      <c r="C136" s="11"/>
      <c r="D136" s="21"/>
      <c r="E136" s="5" t="str">
        <f t="shared" si="7"/>
        <v>q7b1</v>
      </c>
      <c r="F136" s="5">
        <f t="shared" si="6"/>
        <v>0</v>
      </c>
      <c r="G136" s="13"/>
      <c r="H136" s="13"/>
      <c r="I136" s="13"/>
      <c r="J136" s="13"/>
      <c r="K136" s="13" t="str">
        <f>IF(A136&lt;&gt;"",VLOOKUP(A136,Variables!$A:$C,3,FALSE),"")</f>
        <v/>
      </c>
    </row>
    <row r="137" spans="1:11" customFormat="1" x14ac:dyDescent="0.2">
      <c r="A137" s="11" t="s">
        <v>125</v>
      </c>
      <c r="B137" s="11">
        <v>3</v>
      </c>
      <c r="C137" s="11"/>
      <c r="D137" s="21"/>
      <c r="E137" s="5" t="str">
        <f t="shared" si="7"/>
        <v>q7b1</v>
      </c>
      <c r="F137" s="5">
        <f t="shared" si="6"/>
        <v>0</v>
      </c>
      <c r="G137" s="13"/>
      <c r="H137" s="13"/>
      <c r="I137" s="13"/>
      <c r="J137" s="13"/>
      <c r="K137" s="13" t="str">
        <f>IF(A137&lt;&gt;"",VLOOKUP(A137,Variables!$A:$C,3,FALSE),"")</f>
        <v/>
      </c>
    </row>
    <row r="138" spans="1:11" customFormat="1" x14ac:dyDescent="0.2">
      <c r="A138" s="11" t="s">
        <v>125</v>
      </c>
      <c r="B138" s="11">
        <v>4</v>
      </c>
      <c r="C138" s="11"/>
      <c r="D138" s="21"/>
      <c r="E138" s="5" t="str">
        <f t="shared" si="7"/>
        <v>q7b1</v>
      </c>
      <c r="F138" s="5">
        <f t="shared" si="6"/>
        <v>0</v>
      </c>
      <c r="G138" s="13"/>
      <c r="H138" s="13"/>
      <c r="I138" s="13"/>
      <c r="J138" s="13"/>
      <c r="K138" s="13" t="str">
        <f>IF(A138&lt;&gt;"",VLOOKUP(A138,Variables!$A:$C,3,FALSE),"")</f>
        <v/>
      </c>
    </row>
    <row r="139" spans="1:11" customFormat="1" x14ac:dyDescent="0.2">
      <c r="A139" s="11" t="s">
        <v>125</v>
      </c>
      <c r="B139" s="11">
        <v>5</v>
      </c>
      <c r="C139" s="11"/>
      <c r="D139" s="21"/>
      <c r="E139" s="5" t="str">
        <f t="shared" si="7"/>
        <v>q7b1</v>
      </c>
      <c r="F139" s="5">
        <f t="shared" si="6"/>
        <v>0</v>
      </c>
      <c r="G139" s="13"/>
      <c r="H139" s="13"/>
      <c r="I139" s="13"/>
      <c r="J139" s="13"/>
      <c r="K139" s="13" t="str">
        <f>IF(A139&lt;&gt;"",VLOOKUP(A139,Variables!$A:$C,3,FALSE),"")</f>
        <v/>
      </c>
    </row>
    <row r="140" spans="1:11" customFormat="1" x14ac:dyDescent="0.2">
      <c r="A140" s="11" t="s">
        <v>125</v>
      </c>
      <c r="B140" s="11">
        <v>6</v>
      </c>
      <c r="C140" s="11"/>
      <c r="D140" s="21"/>
      <c r="E140" s="5" t="str">
        <f t="shared" si="7"/>
        <v>q7b1</v>
      </c>
      <c r="F140" s="5">
        <f t="shared" si="6"/>
        <v>0</v>
      </c>
      <c r="G140" s="13"/>
      <c r="H140" s="13"/>
      <c r="I140" s="13"/>
      <c r="J140" s="13"/>
      <c r="K140" s="13" t="str">
        <f>IF(A140&lt;&gt;"",VLOOKUP(A140,Variables!$A:$C,3,FALSE),"")</f>
        <v/>
      </c>
    </row>
    <row r="141" spans="1:11" customFormat="1" x14ac:dyDescent="0.2">
      <c r="A141" s="11" t="s">
        <v>125</v>
      </c>
      <c r="B141" s="11">
        <v>7</v>
      </c>
      <c r="C141" s="11"/>
      <c r="D141" s="21"/>
      <c r="E141" s="5" t="str">
        <f t="shared" si="7"/>
        <v>q7b1</v>
      </c>
      <c r="F141" s="5">
        <f t="shared" si="6"/>
        <v>0</v>
      </c>
      <c r="G141" s="13"/>
      <c r="H141" s="13"/>
      <c r="I141" s="13"/>
      <c r="J141" s="13"/>
      <c r="K141" s="13" t="str">
        <f>IF(A141&lt;&gt;"",VLOOKUP(A141,Variables!$A:$C,3,FALSE),"")</f>
        <v/>
      </c>
    </row>
    <row r="142" spans="1:11" customFormat="1" x14ac:dyDescent="0.2">
      <c r="A142" s="11" t="s">
        <v>125</v>
      </c>
      <c r="B142" s="11">
        <v>8</v>
      </c>
      <c r="C142" s="11"/>
      <c r="D142" s="21"/>
      <c r="E142" s="5" t="str">
        <f t="shared" si="7"/>
        <v>q7b1</v>
      </c>
      <c r="F142" s="5">
        <f t="shared" si="6"/>
        <v>0</v>
      </c>
      <c r="G142" s="13"/>
      <c r="H142" s="13"/>
      <c r="I142" s="13"/>
      <c r="J142" s="13"/>
      <c r="K142" s="13" t="str">
        <f>IF(A142&lt;&gt;"",VLOOKUP(A142,Variables!$A:$C,3,FALSE),"")</f>
        <v/>
      </c>
    </row>
    <row r="143" spans="1:11" customFormat="1" x14ac:dyDescent="0.2">
      <c r="A143" s="11" t="s">
        <v>125</v>
      </c>
      <c r="B143" s="11">
        <v>9</v>
      </c>
      <c r="C143" s="11"/>
      <c r="D143" s="21"/>
      <c r="E143" s="5" t="str">
        <f t="shared" si="7"/>
        <v>q7b1</v>
      </c>
      <c r="F143" s="5">
        <f t="shared" si="6"/>
        <v>0</v>
      </c>
      <c r="G143" s="13"/>
      <c r="H143" s="13"/>
      <c r="I143" s="13"/>
      <c r="J143" s="13"/>
      <c r="K143" s="13" t="str">
        <f>IF(A143&lt;&gt;"",VLOOKUP(A143,Variables!$A:$C,3,FALSE),"")</f>
        <v/>
      </c>
    </row>
    <row r="144" spans="1:11" customFormat="1" x14ac:dyDescent="0.2">
      <c r="A144" s="11" t="s">
        <v>125</v>
      </c>
      <c r="B144" s="11">
        <v>10</v>
      </c>
      <c r="C144" s="11"/>
      <c r="D144" s="21"/>
      <c r="E144" s="5" t="str">
        <f t="shared" si="7"/>
        <v>q7b1</v>
      </c>
      <c r="F144" s="5">
        <f t="shared" si="6"/>
        <v>0</v>
      </c>
      <c r="G144" s="13"/>
      <c r="H144" s="13"/>
      <c r="I144" s="13"/>
      <c r="J144" s="13"/>
      <c r="K144" s="13" t="str">
        <f>IF(A144&lt;&gt;"",VLOOKUP(A144,Variables!$A:$C,3,FALSE),"")</f>
        <v/>
      </c>
    </row>
    <row r="145" spans="1:11" customFormat="1" x14ac:dyDescent="0.2">
      <c r="A145" s="11" t="s">
        <v>125</v>
      </c>
      <c r="B145" s="11">
        <v>99</v>
      </c>
      <c r="C145" s="11"/>
      <c r="D145" s="21"/>
      <c r="E145" s="5" t="str">
        <f t="shared" si="7"/>
        <v>q7b1</v>
      </c>
      <c r="F145" s="5">
        <f t="shared" si="6"/>
        <v>0</v>
      </c>
      <c r="G145" s="13"/>
      <c r="H145" s="13"/>
      <c r="I145" s="13"/>
      <c r="J145" s="13"/>
      <c r="K145" s="13" t="str">
        <f>IF(A145&lt;&gt;"",VLOOKUP(A145,Variables!$A:$C,3,FALSE),"")</f>
        <v/>
      </c>
    </row>
    <row r="146" spans="1:11" customFormat="1" x14ac:dyDescent="0.2">
      <c r="A146" s="11" t="s">
        <v>332</v>
      </c>
      <c r="B146" s="11">
        <v>-2</v>
      </c>
      <c r="C146" s="11"/>
      <c r="D146" s="21"/>
      <c r="E146" s="5" t="str">
        <f t="shared" si="7"/>
        <v>q7b2</v>
      </c>
      <c r="F146" s="5">
        <f t="shared" si="6"/>
        <v>0</v>
      </c>
      <c r="G146" s="13"/>
      <c r="H146" s="13"/>
      <c r="I146" s="13"/>
      <c r="J146" s="13"/>
      <c r="K146" s="13">
        <f>IF(A146&lt;&gt;"",VLOOKUP(A146,Variables!$A:$C,3,FALSE),"")</f>
        <v>0</v>
      </c>
    </row>
    <row r="147" spans="1:11" customFormat="1" x14ac:dyDescent="0.2">
      <c r="A147" s="11" t="s">
        <v>125</v>
      </c>
      <c r="B147" s="11">
        <v>1</v>
      </c>
      <c r="C147" s="11"/>
      <c r="D147" s="21"/>
      <c r="E147" s="5" t="str">
        <f t="shared" si="7"/>
        <v>q7b2</v>
      </c>
      <c r="F147" s="5">
        <f t="shared" si="6"/>
        <v>0</v>
      </c>
      <c r="G147" s="13"/>
      <c r="H147" s="13"/>
      <c r="I147" s="13"/>
      <c r="J147" s="13"/>
      <c r="K147" s="13" t="str">
        <f>IF(A147&lt;&gt;"",VLOOKUP(A147,Variables!$A:$C,3,FALSE),"")</f>
        <v/>
      </c>
    </row>
    <row r="148" spans="1:11" customFormat="1" x14ac:dyDescent="0.2">
      <c r="A148" s="11" t="s">
        <v>125</v>
      </c>
      <c r="B148" s="11">
        <v>2</v>
      </c>
      <c r="C148" s="11"/>
      <c r="D148" s="21"/>
      <c r="E148" s="5" t="str">
        <f t="shared" si="7"/>
        <v>q7b2</v>
      </c>
      <c r="F148" s="5">
        <f t="shared" si="6"/>
        <v>0</v>
      </c>
      <c r="G148" s="13"/>
      <c r="H148" s="13"/>
      <c r="I148" s="13"/>
      <c r="J148" s="13"/>
      <c r="K148" s="13" t="str">
        <f>IF(A148&lt;&gt;"",VLOOKUP(A148,Variables!$A:$C,3,FALSE),"")</f>
        <v/>
      </c>
    </row>
    <row r="149" spans="1:11" customFormat="1" x14ac:dyDescent="0.2">
      <c r="A149" s="11" t="s">
        <v>125</v>
      </c>
      <c r="B149" s="11">
        <v>3</v>
      </c>
      <c r="C149" s="11"/>
      <c r="D149" s="21"/>
      <c r="E149" s="5" t="str">
        <f t="shared" si="7"/>
        <v>q7b2</v>
      </c>
      <c r="F149" s="5">
        <f t="shared" si="6"/>
        <v>0</v>
      </c>
      <c r="G149" s="13"/>
      <c r="H149" s="13"/>
      <c r="I149" s="13"/>
      <c r="J149" s="13"/>
      <c r="K149" s="13" t="str">
        <f>IF(A149&lt;&gt;"",VLOOKUP(A149,Variables!$A:$C,3,FALSE),"")</f>
        <v/>
      </c>
    </row>
    <row r="150" spans="1:11" customFormat="1" x14ac:dyDescent="0.2">
      <c r="A150" s="11" t="s">
        <v>125</v>
      </c>
      <c r="B150" s="11">
        <v>4</v>
      </c>
      <c r="C150" s="11"/>
      <c r="D150" s="21"/>
      <c r="E150" s="5" t="str">
        <f t="shared" si="7"/>
        <v>q7b2</v>
      </c>
      <c r="F150" s="5">
        <f t="shared" si="6"/>
        <v>0</v>
      </c>
      <c r="G150" s="13"/>
      <c r="H150" s="13"/>
      <c r="I150" s="13"/>
      <c r="J150" s="13"/>
      <c r="K150" s="13" t="str">
        <f>IF(A150&lt;&gt;"",VLOOKUP(A150,Variables!$A:$C,3,FALSE),"")</f>
        <v/>
      </c>
    </row>
    <row r="151" spans="1:11" customFormat="1" x14ac:dyDescent="0.2">
      <c r="A151" s="11" t="s">
        <v>125</v>
      </c>
      <c r="B151" s="11">
        <v>5</v>
      </c>
      <c r="C151" s="11"/>
      <c r="D151" s="21"/>
      <c r="E151" s="5" t="str">
        <f t="shared" si="7"/>
        <v>q7b2</v>
      </c>
      <c r="F151" s="5">
        <f t="shared" si="6"/>
        <v>0</v>
      </c>
      <c r="G151" s="13"/>
      <c r="H151" s="13"/>
      <c r="I151" s="13"/>
      <c r="J151" s="13"/>
      <c r="K151" s="13" t="str">
        <f>IF(A151&lt;&gt;"",VLOOKUP(A151,Variables!$A:$C,3,FALSE),"")</f>
        <v/>
      </c>
    </row>
    <row r="152" spans="1:11" customFormat="1" x14ac:dyDescent="0.2">
      <c r="A152" s="11" t="s">
        <v>125</v>
      </c>
      <c r="B152" s="11">
        <v>6</v>
      </c>
      <c r="C152" s="11"/>
      <c r="D152" s="21"/>
      <c r="E152" s="5" t="str">
        <f t="shared" si="7"/>
        <v>q7b2</v>
      </c>
      <c r="F152" s="5">
        <f t="shared" si="6"/>
        <v>0</v>
      </c>
      <c r="G152" s="13"/>
      <c r="H152" s="13"/>
      <c r="I152" s="13"/>
      <c r="J152" s="13"/>
      <c r="K152" s="13" t="str">
        <f>IF(A152&lt;&gt;"",VLOOKUP(A152,Variables!$A:$C,3,FALSE),"")</f>
        <v/>
      </c>
    </row>
    <row r="153" spans="1:11" customFormat="1" x14ac:dyDescent="0.2">
      <c r="A153" s="11" t="s">
        <v>125</v>
      </c>
      <c r="B153" s="11">
        <v>7</v>
      </c>
      <c r="C153" s="11"/>
      <c r="D153" s="21"/>
      <c r="E153" s="5" t="str">
        <f t="shared" si="7"/>
        <v>q7b2</v>
      </c>
      <c r="F153" s="5">
        <f t="shared" si="6"/>
        <v>0</v>
      </c>
      <c r="G153" s="13"/>
      <c r="H153" s="13"/>
      <c r="I153" s="13"/>
      <c r="J153" s="13"/>
      <c r="K153" s="13" t="str">
        <f>IF(A153&lt;&gt;"",VLOOKUP(A153,Variables!$A:$C,3,FALSE),"")</f>
        <v/>
      </c>
    </row>
    <row r="154" spans="1:11" customFormat="1" x14ac:dyDescent="0.2">
      <c r="A154" s="11" t="s">
        <v>125</v>
      </c>
      <c r="B154" s="11">
        <v>8</v>
      </c>
      <c r="C154" s="11"/>
      <c r="D154" s="21"/>
      <c r="E154" s="5" t="str">
        <f t="shared" si="7"/>
        <v>q7b2</v>
      </c>
      <c r="F154" s="5">
        <f t="shared" si="6"/>
        <v>0</v>
      </c>
      <c r="G154" s="13"/>
      <c r="H154" s="13"/>
      <c r="I154" s="13"/>
      <c r="J154" s="13"/>
      <c r="K154" s="13" t="str">
        <f>IF(A154&lt;&gt;"",VLOOKUP(A154,Variables!$A:$C,3,FALSE),"")</f>
        <v/>
      </c>
    </row>
    <row r="155" spans="1:11" customFormat="1" x14ac:dyDescent="0.2">
      <c r="A155" s="11" t="s">
        <v>125</v>
      </c>
      <c r="B155" s="11">
        <v>9</v>
      </c>
      <c r="C155" s="11"/>
      <c r="D155" s="21"/>
      <c r="E155" s="5" t="str">
        <f t="shared" si="7"/>
        <v>q7b2</v>
      </c>
      <c r="F155" s="5">
        <f t="shared" si="6"/>
        <v>0</v>
      </c>
      <c r="G155" s="13"/>
      <c r="H155" s="13"/>
      <c r="I155" s="13"/>
      <c r="J155" s="13"/>
      <c r="K155" s="13" t="str">
        <f>IF(A155&lt;&gt;"",VLOOKUP(A155,Variables!$A:$C,3,FALSE),"")</f>
        <v/>
      </c>
    </row>
    <row r="156" spans="1:11" customFormat="1" x14ac:dyDescent="0.2">
      <c r="A156" s="11" t="s">
        <v>125</v>
      </c>
      <c r="B156" s="11">
        <v>10</v>
      </c>
      <c r="C156" s="11"/>
      <c r="D156" s="21"/>
      <c r="E156" s="5" t="str">
        <f t="shared" si="7"/>
        <v>q7b2</v>
      </c>
      <c r="F156" s="5">
        <f t="shared" ref="F156:F219" si="8">LEN(C156)</f>
        <v>0</v>
      </c>
      <c r="G156" s="13"/>
      <c r="H156" s="13"/>
      <c r="I156" s="13"/>
      <c r="J156" s="13"/>
      <c r="K156" s="13" t="str">
        <f>IF(A156&lt;&gt;"",VLOOKUP(A156,Variables!$A:$C,3,FALSE),"")</f>
        <v/>
      </c>
    </row>
    <row r="157" spans="1:11" customFormat="1" x14ac:dyDescent="0.2">
      <c r="A157" s="11" t="s">
        <v>125</v>
      </c>
      <c r="B157" s="11">
        <v>99</v>
      </c>
      <c r="C157" s="11"/>
      <c r="D157" s="21"/>
      <c r="E157" s="5" t="str">
        <f t="shared" si="7"/>
        <v>q7b2</v>
      </c>
      <c r="F157" s="5">
        <f t="shared" si="8"/>
        <v>0</v>
      </c>
      <c r="G157" s="13"/>
      <c r="H157" s="13"/>
      <c r="I157" s="13"/>
      <c r="J157" s="13"/>
      <c r="K157" s="13" t="str">
        <f>IF(A157&lt;&gt;"",VLOOKUP(A157,Variables!$A:$C,3,FALSE),"")</f>
        <v/>
      </c>
    </row>
    <row r="158" spans="1:11" customFormat="1" x14ac:dyDescent="0.2">
      <c r="A158" s="11" t="s">
        <v>333</v>
      </c>
      <c r="B158" s="11">
        <v>-2</v>
      </c>
      <c r="C158" s="11"/>
      <c r="D158" s="21"/>
      <c r="E158" s="5" t="str">
        <f t="shared" si="7"/>
        <v>q7c1</v>
      </c>
      <c r="F158" s="5">
        <f t="shared" si="8"/>
        <v>0</v>
      </c>
      <c r="G158" s="13"/>
      <c r="H158" s="13"/>
      <c r="I158" s="13"/>
      <c r="J158" s="13"/>
      <c r="K158" s="13">
        <f>IF(A158&lt;&gt;"",VLOOKUP(A158,Variables!$A:$C,3,FALSE),"")</f>
        <v>0</v>
      </c>
    </row>
    <row r="159" spans="1:11" customFormat="1" x14ac:dyDescent="0.2">
      <c r="A159" s="11" t="s">
        <v>125</v>
      </c>
      <c r="B159" s="11">
        <v>1</v>
      </c>
      <c r="C159" s="11"/>
      <c r="D159" s="21"/>
      <c r="E159" s="5" t="str">
        <f t="shared" si="7"/>
        <v>q7c1</v>
      </c>
      <c r="F159" s="5">
        <f t="shared" si="8"/>
        <v>0</v>
      </c>
      <c r="G159" s="13"/>
      <c r="H159" s="13"/>
      <c r="I159" s="13"/>
      <c r="J159" s="13"/>
      <c r="K159" s="13" t="str">
        <f>IF(A159&lt;&gt;"",VLOOKUP(A159,Variables!$A:$C,3,FALSE),"")</f>
        <v/>
      </c>
    </row>
    <row r="160" spans="1:11" customFormat="1" x14ac:dyDescent="0.2">
      <c r="A160" s="11" t="s">
        <v>125</v>
      </c>
      <c r="B160" s="11">
        <v>2</v>
      </c>
      <c r="C160" s="11"/>
      <c r="D160" s="21"/>
      <c r="E160" s="5" t="str">
        <f t="shared" si="7"/>
        <v>q7c1</v>
      </c>
      <c r="F160" s="5">
        <f t="shared" si="8"/>
        <v>0</v>
      </c>
      <c r="G160" s="13"/>
      <c r="H160" s="13"/>
      <c r="I160" s="13"/>
      <c r="J160" s="13"/>
      <c r="K160" s="13" t="str">
        <f>IF(A160&lt;&gt;"",VLOOKUP(A160,Variables!$A:$C,3,FALSE),"")</f>
        <v/>
      </c>
    </row>
    <row r="161" spans="1:11" customFormat="1" x14ac:dyDescent="0.2">
      <c r="A161" s="11" t="s">
        <v>125</v>
      </c>
      <c r="B161" s="11">
        <v>3</v>
      </c>
      <c r="C161" s="11"/>
      <c r="D161" s="21"/>
      <c r="E161" s="5" t="str">
        <f t="shared" si="7"/>
        <v>q7c1</v>
      </c>
      <c r="F161" s="5">
        <f t="shared" si="8"/>
        <v>0</v>
      </c>
      <c r="G161" s="13"/>
      <c r="H161" s="13"/>
      <c r="I161" s="13"/>
      <c r="J161" s="13"/>
      <c r="K161" s="13" t="str">
        <f>IF(A161&lt;&gt;"",VLOOKUP(A161,Variables!$A:$C,3,FALSE),"")</f>
        <v/>
      </c>
    </row>
    <row r="162" spans="1:11" customFormat="1" x14ac:dyDescent="0.2">
      <c r="A162" s="11" t="s">
        <v>125</v>
      </c>
      <c r="B162" s="11">
        <v>4</v>
      </c>
      <c r="C162" s="11"/>
      <c r="D162" s="21"/>
      <c r="E162" s="5" t="str">
        <f t="shared" si="7"/>
        <v>q7c1</v>
      </c>
      <c r="F162" s="5">
        <f t="shared" si="8"/>
        <v>0</v>
      </c>
      <c r="G162" s="13"/>
      <c r="H162" s="13"/>
      <c r="I162" s="13"/>
      <c r="J162" s="13"/>
      <c r="K162" s="13" t="str">
        <f>IF(A162&lt;&gt;"",VLOOKUP(A162,Variables!$A:$C,3,FALSE),"")</f>
        <v/>
      </c>
    </row>
    <row r="163" spans="1:11" customFormat="1" x14ac:dyDescent="0.2">
      <c r="A163" s="11" t="s">
        <v>125</v>
      </c>
      <c r="B163" s="11">
        <v>5</v>
      </c>
      <c r="C163" s="11"/>
      <c r="D163" s="21"/>
      <c r="E163" s="5" t="str">
        <f t="shared" si="7"/>
        <v>q7c1</v>
      </c>
      <c r="F163" s="5">
        <f t="shared" si="8"/>
        <v>0</v>
      </c>
      <c r="G163" s="13"/>
      <c r="H163" s="13"/>
      <c r="I163" s="13"/>
      <c r="J163" s="13"/>
      <c r="K163" s="13" t="str">
        <f>IF(A163&lt;&gt;"",VLOOKUP(A163,Variables!$A:$C,3,FALSE),"")</f>
        <v/>
      </c>
    </row>
    <row r="164" spans="1:11" customFormat="1" x14ac:dyDescent="0.2">
      <c r="A164" s="11" t="s">
        <v>125</v>
      </c>
      <c r="B164" s="11">
        <v>6</v>
      </c>
      <c r="C164" s="11"/>
      <c r="D164" s="21"/>
      <c r="E164" s="5" t="str">
        <f t="shared" si="7"/>
        <v>q7c1</v>
      </c>
      <c r="F164" s="5">
        <f t="shared" si="8"/>
        <v>0</v>
      </c>
      <c r="G164" s="13"/>
      <c r="H164" s="13"/>
      <c r="I164" s="13"/>
      <c r="J164" s="13"/>
      <c r="K164" s="13" t="str">
        <f>IF(A164&lt;&gt;"",VLOOKUP(A164,Variables!$A:$C,3,FALSE),"")</f>
        <v/>
      </c>
    </row>
    <row r="165" spans="1:11" customFormat="1" x14ac:dyDescent="0.2">
      <c r="A165" s="11" t="s">
        <v>125</v>
      </c>
      <c r="B165" s="11">
        <v>7</v>
      </c>
      <c r="C165" s="11"/>
      <c r="D165" s="21"/>
      <c r="E165" s="5" t="str">
        <f t="shared" si="7"/>
        <v>q7c1</v>
      </c>
      <c r="F165" s="5">
        <f t="shared" si="8"/>
        <v>0</v>
      </c>
      <c r="G165" s="13"/>
      <c r="H165" s="13"/>
      <c r="I165" s="13"/>
      <c r="J165" s="13"/>
      <c r="K165" s="13" t="str">
        <f>IF(A165&lt;&gt;"",VLOOKUP(A165,Variables!$A:$C,3,FALSE),"")</f>
        <v/>
      </c>
    </row>
    <row r="166" spans="1:11" customFormat="1" x14ac:dyDescent="0.2">
      <c r="A166" s="11" t="s">
        <v>125</v>
      </c>
      <c r="B166" s="11">
        <v>8</v>
      </c>
      <c r="C166" s="11"/>
      <c r="D166" s="21"/>
      <c r="E166" s="5" t="str">
        <f t="shared" si="7"/>
        <v>q7c1</v>
      </c>
      <c r="F166" s="5">
        <f t="shared" si="8"/>
        <v>0</v>
      </c>
      <c r="G166" s="13"/>
      <c r="H166" s="13"/>
      <c r="I166" s="13"/>
      <c r="J166" s="13"/>
      <c r="K166" s="13" t="str">
        <f>IF(A166&lt;&gt;"",VLOOKUP(A166,Variables!$A:$C,3,FALSE),"")</f>
        <v/>
      </c>
    </row>
    <row r="167" spans="1:11" customFormat="1" x14ac:dyDescent="0.2">
      <c r="A167" s="11" t="s">
        <v>125</v>
      </c>
      <c r="B167" s="11">
        <v>9</v>
      </c>
      <c r="C167" s="11"/>
      <c r="D167" s="21"/>
      <c r="E167" s="5" t="str">
        <f t="shared" si="7"/>
        <v>q7c1</v>
      </c>
      <c r="F167" s="5">
        <f t="shared" si="8"/>
        <v>0</v>
      </c>
      <c r="G167" s="13"/>
      <c r="H167" s="13"/>
      <c r="I167" s="13"/>
      <c r="J167" s="13"/>
      <c r="K167" s="13" t="str">
        <f>IF(A167&lt;&gt;"",VLOOKUP(A167,Variables!$A:$C,3,FALSE),"")</f>
        <v/>
      </c>
    </row>
    <row r="168" spans="1:11" customFormat="1" x14ac:dyDescent="0.2">
      <c r="A168" s="11" t="s">
        <v>125</v>
      </c>
      <c r="B168" s="11">
        <v>10</v>
      </c>
      <c r="C168" s="11"/>
      <c r="D168" s="21"/>
      <c r="E168" s="5" t="str">
        <f t="shared" si="7"/>
        <v>q7c1</v>
      </c>
      <c r="F168" s="5">
        <f t="shared" si="8"/>
        <v>0</v>
      </c>
      <c r="G168" s="13"/>
      <c r="H168" s="13"/>
      <c r="I168" s="13"/>
      <c r="J168" s="13"/>
      <c r="K168" s="13" t="str">
        <f>IF(A168&lt;&gt;"",VLOOKUP(A168,Variables!$A:$C,3,FALSE),"")</f>
        <v/>
      </c>
    </row>
    <row r="169" spans="1:11" customFormat="1" x14ac:dyDescent="0.2">
      <c r="A169" s="11" t="s">
        <v>125</v>
      </c>
      <c r="B169" s="11">
        <v>99</v>
      </c>
      <c r="C169" s="11"/>
      <c r="D169" s="21"/>
      <c r="E169" s="5" t="str">
        <f t="shared" si="7"/>
        <v>q7c1</v>
      </c>
      <c r="F169" s="5">
        <f t="shared" si="8"/>
        <v>0</v>
      </c>
      <c r="G169" s="13"/>
      <c r="H169" s="13"/>
      <c r="I169" s="13"/>
      <c r="J169" s="13"/>
      <c r="K169" s="13" t="str">
        <f>IF(A169&lt;&gt;"",VLOOKUP(A169,Variables!$A:$C,3,FALSE),"")</f>
        <v/>
      </c>
    </row>
    <row r="170" spans="1:11" customFormat="1" x14ac:dyDescent="0.2">
      <c r="A170" s="11" t="s">
        <v>334</v>
      </c>
      <c r="B170" s="11">
        <v>-2</v>
      </c>
      <c r="C170" s="11"/>
      <c r="D170" s="21"/>
      <c r="E170" s="5" t="str">
        <f t="shared" si="7"/>
        <v>q7c2</v>
      </c>
      <c r="F170" s="5">
        <f t="shared" si="8"/>
        <v>0</v>
      </c>
      <c r="G170" s="13"/>
      <c r="H170" s="13"/>
      <c r="I170" s="13"/>
      <c r="J170" s="13"/>
      <c r="K170" s="13">
        <f>IF(A170&lt;&gt;"",VLOOKUP(A170,Variables!$A:$C,3,FALSE),"")</f>
        <v>0</v>
      </c>
    </row>
    <row r="171" spans="1:11" customFormat="1" x14ac:dyDescent="0.2">
      <c r="A171" s="11" t="s">
        <v>125</v>
      </c>
      <c r="B171" s="11">
        <v>1</v>
      </c>
      <c r="C171" s="11"/>
      <c r="D171" s="21"/>
      <c r="E171" s="5" t="str">
        <f t="shared" si="7"/>
        <v>q7c2</v>
      </c>
      <c r="F171" s="5">
        <f t="shared" si="8"/>
        <v>0</v>
      </c>
      <c r="G171" s="13"/>
      <c r="H171" s="13"/>
      <c r="I171" s="13"/>
      <c r="J171" s="13"/>
      <c r="K171" s="13" t="str">
        <f>IF(A171&lt;&gt;"",VLOOKUP(A171,Variables!$A:$C,3,FALSE),"")</f>
        <v/>
      </c>
    </row>
    <row r="172" spans="1:11" customFormat="1" x14ac:dyDescent="0.2">
      <c r="A172" s="11" t="s">
        <v>125</v>
      </c>
      <c r="B172" s="11">
        <v>2</v>
      </c>
      <c r="C172" s="11"/>
      <c r="D172" s="21"/>
      <c r="E172" s="5" t="str">
        <f t="shared" si="7"/>
        <v>q7c2</v>
      </c>
      <c r="F172" s="5">
        <f t="shared" si="8"/>
        <v>0</v>
      </c>
      <c r="G172" s="13"/>
      <c r="H172" s="13"/>
      <c r="I172" s="13"/>
      <c r="J172" s="13"/>
      <c r="K172" s="13" t="str">
        <f>IF(A172&lt;&gt;"",VLOOKUP(A172,Variables!$A:$C,3,FALSE),"")</f>
        <v/>
      </c>
    </row>
    <row r="173" spans="1:11" customFormat="1" x14ac:dyDescent="0.2">
      <c r="A173" s="11" t="s">
        <v>125</v>
      </c>
      <c r="B173" s="11">
        <v>3</v>
      </c>
      <c r="C173" s="11"/>
      <c r="D173" s="21"/>
      <c r="E173" s="5" t="str">
        <f t="shared" si="7"/>
        <v>q7c2</v>
      </c>
      <c r="F173" s="5">
        <f t="shared" si="8"/>
        <v>0</v>
      </c>
      <c r="G173" s="13"/>
      <c r="H173" s="13"/>
      <c r="I173" s="13"/>
      <c r="J173" s="13"/>
      <c r="K173" s="13" t="str">
        <f>IF(A173&lt;&gt;"",VLOOKUP(A173,Variables!$A:$C,3,FALSE),"")</f>
        <v/>
      </c>
    </row>
    <row r="174" spans="1:11" customFormat="1" x14ac:dyDescent="0.2">
      <c r="A174" s="11" t="s">
        <v>125</v>
      </c>
      <c r="B174" s="11">
        <v>4</v>
      </c>
      <c r="C174" s="11"/>
      <c r="D174" s="21"/>
      <c r="E174" s="5" t="str">
        <f t="shared" si="7"/>
        <v>q7c2</v>
      </c>
      <c r="F174" s="5">
        <f t="shared" si="8"/>
        <v>0</v>
      </c>
      <c r="G174" s="13"/>
      <c r="H174" s="13"/>
      <c r="I174" s="13"/>
      <c r="J174" s="13"/>
      <c r="K174" s="13" t="str">
        <f>IF(A174&lt;&gt;"",VLOOKUP(A174,Variables!$A:$C,3,FALSE),"")</f>
        <v/>
      </c>
    </row>
    <row r="175" spans="1:11" customFormat="1" x14ac:dyDescent="0.2">
      <c r="A175" s="11" t="s">
        <v>125</v>
      </c>
      <c r="B175" s="11">
        <v>5</v>
      </c>
      <c r="C175" s="11"/>
      <c r="D175" s="21"/>
      <c r="E175" s="5" t="str">
        <f t="shared" ref="E175:E238" si="9">IF(A175&lt;&gt;"",IF(V_LabelvorVariablen=TRUE,A175,IF(VLOOKUP(A175,V_VariablenEigenschaften,12,FALSE)="",A175,VLOOKUP(A175,V_VariablenEigenschaften,12,FALSE))),E174)</f>
        <v>q7c2</v>
      </c>
      <c r="F175" s="5">
        <f t="shared" si="8"/>
        <v>0</v>
      </c>
      <c r="G175" s="13"/>
      <c r="H175" s="13"/>
      <c r="I175" s="13"/>
      <c r="J175" s="13"/>
      <c r="K175" s="13" t="str">
        <f>IF(A175&lt;&gt;"",VLOOKUP(A175,Variables!$A:$C,3,FALSE),"")</f>
        <v/>
      </c>
    </row>
    <row r="176" spans="1:11" customFormat="1" x14ac:dyDescent="0.2">
      <c r="A176" s="11" t="s">
        <v>125</v>
      </c>
      <c r="B176" s="11">
        <v>6</v>
      </c>
      <c r="C176" s="11"/>
      <c r="D176" s="21"/>
      <c r="E176" s="5" t="str">
        <f t="shared" si="9"/>
        <v>q7c2</v>
      </c>
      <c r="F176" s="5">
        <f t="shared" si="8"/>
        <v>0</v>
      </c>
      <c r="G176" s="13"/>
      <c r="H176" s="13"/>
      <c r="I176" s="13"/>
      <c r="J176" s="13"/>
      <c r="K176" s="13" t="str">
        <f>IF(A176&lt;&gt;"",VLOOKUP(A176,Variables!$A:$C,3,FALSE),"")</f>
        <v/>
      </c>
    </row>
    <row r="177" spans="1:11" customFormat="1" x14ac:dyDescent="0.2">
      <c r="A177" s="11" t="s">
        <v>125</v>
      </c>
      <c r="B177" s="11">
        <v>7</v>
      </c>
      <c r="C177" s="11"/>
      <c r="D177" s="21"/>
      <c r="E177" s="5" t="str">
        <f t="shared" si="9"/>
        <v>q7c2</v>
      </c>
      <c r="F177" s="5">
        <f t="shared" si="8"/>
        <v>0</v>
      </c>
      <c r="G177" s="13"/>
      <c r="H177" s="13"/>
      <c r="I177" s="13"/>
      <c r="J177" s="13"/>
      <c r="K177" s="13" t="str">
        <f>IF(A177&lt;&gt;"",VLOOKUP(A177,Variables!$A:$C,3,FALSE),"")</f>
        <v/>
      </c>
    </row>
    <row r="178" spans="1:11" customFormat="1" x14ac:dyDescent="0.2">
      <c r="A178" s="11" t="s">
        <v>125</v>
      </c>
      <c r="B178" s="11">
        <v>8</v>
      </c>
      <c r="C178" s="11"/>
      <c r="D178" s="21"/>
      <c r="E178" s="5" t="str">
        <f t="shared" si="9"/>
        <v>q7c2</v>
      </c>
      <c r="F178" s="5">
        <f t="shared" si="8"/>
        <v>0</v>
      </c>
      <c r="G178" s="13"/>
      <c r="H178" s="13"/>
      <c r="I178" s="13"/>
      <c r="J178" s="13"/>
      <c r="K178" s="13" t="str">
        <f>IF(A178&lt;&gt;"",VLOOKUP(A178,Variables!$A:$C,3,FALSE),"")</f>
        <v/>
      </c>
    </row>
    <row r="179" spans="1:11" customFormat="1" x14ac:dyDescent="0.2">
      <c r="A179" s="11" t="s">
        <v>125</v>
      </c>
      <c r="B179" s="11">
        <v>9</v>
      </c>
      <c r="C179" s="11"/>
      <c r="D179" s="21"/>
      <c r="E179" s="5" t="str">
        <f t="shared" si="9"/>
        <v>q7c2</v>
      </c>
      <c r="F179" s="5">
        <f t="shared" si="8"/>
        <v>0</v>
      </c>
      <c r="G179" s="13"/>
      <c r="H179" s="13"/>
      <c r="I179" s="13"/>
      <c r="J179" s="13"/>
      <c r="K179" s="13" t="str">
        <f>IF(A179&lt;&gt;"",VLOOKUP(A179,Variables!$A:$C,3,FALSE),"")</f>
        <v/>
      </c>
    </row>
    <row r="180" spans="1:11" customFormat="1" x14ac:dyDescent="0.2">
      <c r="A180" s="11" t="s">
        <v>125</v>
      </c>
      <c r="B180" s="11">
        <v>10</v>
      </c>
      <c r="C180" s="11"/>
      <c r="D180" s="21"/>
      <c r="E180" s="5" t="str">
        <f t="shared" si="9"/>
        <v>q7c2</v>
      </c>
      <c r="F180" s="5">
        <f t="shared" si="8"/>
        <v>0</v>
      </c>
      <c r="G180" s="13"/>
      <c r="H180" s="13"/>
      <c r="I180" s="13"/>
      <c r="J180" s="13"/>
      <c r="K180" s="13" t="str">
        <f>IF(A180&lt;&gt;"",VLOOKUP(A180,Variables!$A:$C,3,FALSE),"")</f>
        <v/>
      </c>
    </row>
    <row r="181" spans="1:11" customFormat="1" x14ac:dyDescent="0.2">
      <c r="A181" s="11" t="s">
        <v>125</v>
      </c>
      <c r="B181" s="11">
        <v>99</v>
      </c>
      <c r="C181" s="11"/>
      <c r="D181" s="21"/>
      <c r="E181" s="5" t="str">
        <f t="shared" si="9"/>
        <v>q7c2</v>
      </c>
      <c r="F181" s="5">
        <f t="shared" si="8"/>
        <v>0</v>
      </c>
      <c r="G181" s="13"/>
      <c r="H181" s="13"/>
      <c r="I181" s="13"/>
      <c r="J181" s="13"/>
      <c r="K181" s="13" t="str">
        <f>IF(A181&lt;&gt;"",VLOOKUP(A181,Variables!$A:$C,3,FALSE),"")</f>
        <v/>
      </c>
    </row>
    <row r="182" spans="1:11" customFormat="1" x14ac:dyDescent="0.2">
      <c r="A182" s="11" t="s">
        <v>335</v>
      </c>
      <c r="B182" s="11">
        <v>-2</v>
      </c>
      <c r="C182" s="11"/>
      <c r="D182" s="21"/>
      <c r="E182" s="5" t="str">
        <f t="shared" si="9"/>
        <v>q7d1</v>
      </c>
      <c r="F182" s="5">
        <f t="shared" si="8"/>
        <v>0</v>
      </c>
      <c r="G182" s="13"/>
      <c r="H182" s="13"/>
      <c r="I182" s="13"/>
      <c r="J182" s="13"/>
      <c r="K182" s="13">
        <f>IF(A182&lt;&gt;"",VLOOKUP(A182,Variables!$A:$C,3,FALSE),"")</f>
        <v>0</v>
      </c>
    </row>
    <row r="183" spans="1:11" customFormat="1" x14ac:dyDescent="0.2">
      <c r="A183" s="11" t="s">
        <v>125</v>
      </c>
      <c r="B183" s="11">
        <v>1</v>
      </c>
      <c r="C183" s="11"/>
      <c r="D183" s="21"/>
      <c r="E183" s="5" t="str">
        <f t="shared" si="9"/>
        <v>q7d1</v>
      </c>
      <c r="F183" s="5">
        <f t="shared" si="8"/>
        <v>0</v>
      </c>
      <c r="G183" s="13"/>
      <c r="H183" s="13"/>
      <c r="I183" s="13"/>
      <c r="J183" s="13"/>
      <c r="K183" s="13" t="str">
        <f>IF(A183&lt;&gt;"",VLOOKUP(A183,Variables!$A:$C,3,FALSE),"")</f>
        <v/>
      </c>
    </row>
    <row r="184" spans="1:11" customFormat="1" x14ac:dyDescent="0.2">
      <c r="A184" s="11" t="s">
        <v>125</v>
      </c>
      <c r="B184" s="11">
        <v>2</v>
      </c>
      <c r="C184" s="11"/>
      <c r="D184" s="21"/>
      <c r="E184" s="5" t="str">
        <f t="shared" si="9"/>
        <v>q7d1</v>
      </c>
      <c r="F184" s="5">
        <f t="shared" si="8"/>
        <v>0</v>
      </c>
      <c r="G184" s="13"/>
      <c r="H184" s="13"/>
      <c r="I184" s="13"/>
      <c r="J184" s="13"/>
      <c r="K184" s="13" t="str">
        <f>IF(A184&lt;&gt;"",VLOOKUP(A184,Variables!$A:$C,3,FALSE),"")</f>
        <v/>
      </c>
    </row>
    <row r="185" spans="1:11" customFormat="1" x14ac:dyDescent="0.2">
      <c r="A185" s="11" t="s">
        <v>125</v>
      </c>
      <c r="B185" s="11">
        <v>3</v>
      </c>
      <c r="C185" s="11"/>
      <c r="D185" s="21"/>
      <c r="E185" s="5" t="str">
        <f t="shared" si="9"/>
        <v>q7d1</v>
      </c>
      <c r="F185" s="5">
        <f t="shared" si="8"/>
        <v>0</v>
      </c>
      <c r="G185" s="13"/>
      <c r="H185" s="13"/>
      <c r="I185" s="13"/>
      <c r="J185" s="13"/>
      <c r="K185" s="13" t="str">
        <f>IF(A185&lt;&gt;"",VLOOKUP(A185,Variables!$A:$C,3,FALSE),"")</f>
        <v/>
      </c>
    </row>
    <row r="186" spans="1:11" customFormat="1" x14ac:dyDescent="0.2">
      <c r="A186" s="11" t="s">
        <v>125</v>
      </c>
      <c r="B186" s="11">
        <v>4</v>
      </c>
      <c r="C186" s="11"/>
      <c r="D186" s="21"/>
      <c r="E186" s="5" t="str">
        <f t="shared" si="9"/>
        <v>q7d1</v>
      </c>
      <c r="F186" s="5">
        <f t="shared" si="8"/>
        <v>0</v>
      </c>
      <c r="G186" s="13"/>
      <c r="H186" s="13"/>
      <c r="I186" s="13"/>
      <c r="J186" s="13"/>
      <c r="K186" s="13" t="str">
        <f>IF(A186&lt;&gt;"",VLOOKUP(A186,Variables!$A:$C,3,FALSE),"")</f>
        <v/>
      </c>
    </row>
    <row r="187" spans="1:11" customFormat="1" x14ac:dyDescent="0.2">
      <c r="A187" s="11" t="s">
        <v>125</v>
      </c>
      <c r="B187" s="11">
        <v>5</v>
      </c>
      <c r="C187" s="11"/>
      <c r="D187" s="21"/>
      <c r="E187" s="5" t="str">
        <f t="shared" si="9"/>
        <v>q7d1</v>
      </c>
      <c r="F187" s="5">
        <f t="shared" si="8"/>
        <v>0</v>
      </c>
      <c r="G187" s="13"/>
      <c r="H187" s="13"/>
      <c r="I187" s="13"/>
      <c r="J187" s="13"/>
      <c r="K187" s="13" t="str">
        <f>IF(A187&lt;&gt;"",VLOOKUP(A187,Variables!$A:$C,3,FALSE),"")</f>
        <v/>
      </c>
    </row>
    <row r="188" spans="1:11" customFormat="1" x14ac:dyDescent="0.2">
      <c r="A188" s="11" t="s">
        <v>125</v>
      </c>
      <c r="B188" s="11">
        <v>6</v>
      </c>
      <c r="C188" s="11"/>
      <c r="D188" s="21"/>
      <c r="E188" s="5" t="str">
        <f t="shared" si="9"/>
        <v>q7d1</v>
      </c>
      <c r="F188" s="5">
        <f t="shared" si="8"/>
        <v>0</v>
      </c>
      <c r="G188" s="13"/>
      <c r="H188" s="13"/>
      <c r="I188" s="13"/>
      <c r="J188" s="13"/>
      <c r="K188" s="13" t="str">
        <f>IF(A188&lt;&gt;"",VLOOKUP(A188,Variables!$A:$C,3,FALSE),"")</f>
        <v/>
      </c>
    </row>
    <row r="189" spans="1:11" customFormat="1" x14ac:dyDescent="0.2">
      <c r="A189" s="11" t="s">
        <v>125</v>
      </c>
      <c r="B189" s="11">
        <v>7</v>
      </c>
      <c r="C189" s="11"/>
      <c r="D189" s="21"/>
      <c r="E189" s="5" t="str">
        <f t="shared" si="9"/>
        <v>q7d1</v>
      </c>
      <c r="F189" s="5">
        <f t="shared" si="8"/>
        <v>0</v>
      </c>
      <c r="G189" s="13"/>
      <c r="H189" s="13"/>
      <c r="I189" s="13"/>
      <c r="J189" s="13"/>
      <c r="K189" s="13" t="str">
        <f>IF(A189&lt;&gt;"",VLOOKUP(A189,Variables!$A:$C,3,FALSE),"")</f>
        <v/>
      </c>
    </row>
    <row r="190" spans="1:11" customFormat="1" x14ac:dyDescent="0.2">
      <c r="A190" s="11" t="s">
        <v>125</v>
      </c>
      <c r="B190" s="11">
        <v>8</v>
      </c>
      <c r="C190" s="11"/>
      <c r="D190" s="21"/>
      <c r="E190" s="5" t="str">
        <f t="shared" si="9"/>
        <v>q7d1</v>
      </c>
      <c r="F190" s="5">
        <f t="shared" si="8"/>
        <v>0</v>
      </c>
      <c r="G190" s="13"/>
      <c r="H190" s="13"/>
      <c r="I190" s="13"/>
      <c r="J190" s="13"/>
      <c r="K190" s="13" t="str">
        <f>IF(A190&lt;&gt;"",VLOOKUP(A190,Variables!$A:$C,3,FALSE),"")</f>
        <v/>
      </c>
    </row>
    <row r="191" spans="1:11" customFormat="1" x14ac:dyDescent="0.2">
      <c r="A191" s="11" t="s">
        <v>125</v>
      </c>
      <c r="B191" s="11">
        <v>9</v>
      </c>
      <c r="C191" s="11"/>
      <c r="D191" s="21"/>
      <c r="E191" s="5" t="str">
        <f t="shared" si="9"/>
        <v>q7d1</v>
      </c>
      <c r="F191" s="5">
        <f t="shared" si="8"/>
        <v>0</v>
      </c>
      <c r="G191" s="13"/>
      <c r="H191" s="13"/>
      <c r="I191" s="13"/>
      <c r="J191" s="13"/>
      <c r="K191" s="13" t="str">
        <f>IF(A191&lt;&gt;"",VLOOKUP(A191,Variables!$A:$C,3,FALSE),"")</f>
        <v/>
      </c>
    </row>
    <row r="192" spans="1:11" customFormat="1" x14ac:dyDescent="0.2">
      <c r="A192" s="11" t="s">
        <v>125</v>
      </c>
      <c r="B192" s="11">
        <v>10</v>
      </c>
      <c r="C192" s="11"/>
      <c r="D192" s="21"/>
      <c r="E192" s="5" t="str">
        <f t="shared" si="9"/>
        <v>q7d1</v>
      </c>
      <c r="F192" s="5">
        <f t="shared" si="8"/>
        <v>0</v>
      </c>
      <c r="G192" s="13"/>
      <c r="H192" s="13"/>
      <c r="I192" s="13"/>
      <c r="J192" s="13"/>
      <c r="K192" s="13" t="str">
        <f>IF(A192&lt;&gt;"",VLOOKUP(A192,Variables!$A:$C,3,FALSE),"")</f>
        <v/>
      </c>
    </row>
    <row r="193" spans="1:11" customFormat="1" x14ac:dyDescent="0.2">
      <c r="A193" s="11" t="s">
        <v>125</v>
      </c>
      <c r="B193" s="11">
        <v>99</v>
      </c>
      <c r="C193" s="11"/>
      <c r="D193" s="21"/>
      <c r="E193" s="5" t="str">
        <f t="shared" si="9"/>
        <v>q7d1</v>
      </c>
      <c r="F193" s="5">
        <f t="shared" si="8"/>
        <v>0</v>
      </c>
      <c r="G193" s="13"/>
      <c r="H193" s="13"/>
      <c r="I193" s="13"/>
      <c r="J193" s="13"/>
      <c r="K193" s="13" t="str">
        <f>IF(A193&lt;&gt;"",VLOOKUP(A193,Variables!$A:$C,3,FALSE),"")</f>
        <v/>
      </c>
    </row>
    <row r="194" spans="1:11" customFormat="1" x14ac:dyDescent="0.2">
      <c r="A194" s="11" t="s">
        <v>336</v>
      </c>
      <c r="B194" s="11">
        <v>-2</v>
      </c>
      <c r="C194" s="11"/>
      <c r="D194" s="21"/>
      <c r="E194" s="5" t="str">
        <f t="shared" si="9"/>
        <v>q7d2</v>
      </c>
      <c r="F194" s="5">
        <f t="shared" si="8"/>
        <v>0</v>
      </c>
      <c r="G194" s="13"/>
      <c r="H194" s="13"/>
      <c r="I194" s="13"/>
      <c r="J194" s="13"/>
      <c r="K194" s="13">
        <f>IF(A194&lt;&gt;"",VLOOKUP(A194,Variables!$A:$C,3,FALSE),"")</f>
        <v>0</v>
      </c>
    </row>
    <row r="195" spans="1:11" customFormat="1" x14ac:dyDescent="0.2">
      <c r="A195" s="11" t="s">
        <v>125</v>
      </c>
      <c r="B195" s="11">
        <v>1</v>
      </c>
      <c r="C195" s="11"/>
      <c r="D195" s="21"/>
      <c r="E195" s="5" t="str">
        <f t="shared" si="9"/>
        <v>q7d2</v>
      </c>
      <c r="F195" s="5">
        <f t="shared" si="8"/>
        <v>0</v>
      </c>
      <c r="G195" s="13"/>
      <c r="H195" s="13"/>
      <c r="I195" s="13"/>
      <c r="J195" s="13"/>
      <c r="K195" s="13" t="str">
        <f>IF(A195&lt;&gt;"",VLOOKUP(A195,Variables!$A:$C,3,FALSE),"")</f>
        <v/>
      </c>
    </row>
    <row r="196" spans="1:11" customFormat="1" x14ac:dyDescent="0.2">
      <c r="A196" s="11" t="s">
        <v>125</v>
      </c>
      <c r="B196" s="11">
        <v>2</v>
      </c>
      <c r="C196" s="11"/>
      <c r="D196" s="21"/>
      <c r="E196" s="5" t="str">
        <f t="shared" si="9"/>
        <v>q7d2</v>
      </c>
      <c r="F196" s="5">
        <f t="shared" si="8"/>
        <v>0</v>
      </c>
      <c r="G196" s="13"/>
      <c r="H196" s="13"/>
      <c r="I196" s="13"/>
      <c r="J196" s="13"/>
      <c r="K196" s="13" t="str">
        <f>IF(A196&lt;&gt;"",VLOOKUP(A196,Variables!$A:$C,3,FALSE),"")</f>
        <v/>
      </c>
    </row>
    <row r="197" spans="1:11" customFormat="1" x14ac:dyDescent="0.2">
      <c r="A197" s="11" t="s">
        <v>125</v>
      </c>
      <c r="B197" s="11">
        <v>3</v>
      </c>
      <c r="C197" s="11"/>
      <c r="D197" s="21"/>
      <c r="E197" s="5" t="str">
        <f t="shared" si="9"/>
        <v>q7d2</v>
      </c>
      <c r="F197" s="5">
        <f t="shared" si="8"/>
        <v>0</v>
      </c>
      <c r="G197" s="13"/>
      <c r="H197" s="13"/>
      <c r="I197" s="13"/>
      <c r="J197" s="13"/>
      <c r="K197" s="13" t="str">
        <f>IF(A197&lt;&gt;"",VLOOKUP(A197,Variables!$A:$C,3,FALSE),"")</f>
        <v/>
      </c>
    </row>
    <row r="198" spans="1:11" customFormat="1" x14ac:dyDescent="0.2">
      <c r="A198" s="11" t="s">
        <v>125</v>
      </c>
      <c r="B198" s="11">
        <v>4</v>
      </c>
      <c r="C198" s="11"/>
      <c r="D198" s="21"/>
      <c r="E198" s="5" t="str">
        <f t="shared" si="9"/>
        <v>q7d2</v>
      </c>
      <c r="F198" s="5">
        <f t="shared" si="8"/>
        <v>0</v>
      </c>
      <c r="G198" s="13"/>
      <c r="H198" s="13"/>
      <c r="I198" s="13"/>
      <c r="J198" s="13"/>
      <c r="K198" s="13" t="str">
        <f>IF(A198&lt;&gt;"",VLOOKUP(A198,Variables!$A:$C,3,FALSE),"")</f>
        <v/>
      </c>
    </row>
    <row r="199" spans="1:11" customFormat="1" x14ac:dyDescent="0.2">
      <c r="A199" s="11" t="s">
        <v>125</v>
      </c>
      <c r="B199" s="11">
        <v>5</v>
      </c>
      <c r="C199" s="11"/>
      <c r="D199" s="21"/>
      <c r="E199" s="5" t="str">
        <f t="shared" si="9"/>
        <v>q7d2</v>
      </c>
      <c r="F199" s="5">
        <f t="shared" si="8"/>
        <v>0</v>
      </c>
      <c r="G199" s="13"/>
      <c r="H199" s="13"/>
      <c r="I199" s="13"/>
      <c r="J199" s="13"/>
      <c r="K199" s="13" t="str">
        <f>IF(A199&lt;&gt;"",VLOOKUP(A199,Variables!$A:$C,3,FALSE),"")</f>
        <v/>
      </c>
    </row>
    <row r="200" spans="1:11" customFormat="1" x14ac:dyDescent="0.2">
      <c r="A200" s="11" t="s">
        <v>125</v>
      </c>
      <c r="B200" s="11">
        <v>6</v>
      </c>
      <c r="C200" s="11"/>
      <c r="D200" s="21"/>
      <c r="E200" s="5" t="str">
        <f t="shared" si="9"/>
        <v>q7d2</v>
      </c>
      <c r="F200" s="5">
        <f t="shared" si="8"/>
        <v>0</v>
      </c>
      <c r="G200" s="13"/>
      <c r="H200" s="13"/>
      <c r="I200" s="13"/>
      <c r="J200" s="13"/>
      <c r="K200" s="13" t="str">
        <f>IF(A200&lt;&gt;"",VLOOKUP(A200,Variables!$A:$C,3,FALSE),"")</f>
        <v/>
      </c>
    </row>
    <row r="201" spans="1:11" customFormat="1" x14ac:dyDescent="0.2">
      <c r="A201" s="11" t="s">
        <v>125</v>
      </c>
      <c r="B201" s="11">
        <v>7</v>
      </c>
      <c r="C201" s="11"/>
      <c r="D201" s="21"/>
      <c r="E201" s="5" t="str">
        <f t="shared" si="9"/>
        <v>q7d2</v>
      </c>
      <c r="F201" s="5">
        <f t="shared" si="8"/>
        <v>0</v>
      </c>
      <c r="G201" s="13"/>
      <c r="H201" s="13"/>
      <c r="I201" s="13"/>
      <c r="J201" s="13"/>
      <c r="K201" s="13" t="str">
        <f>IF(A201&lt;&gt;"",VLOOKUP(A201,Variables!$A:$C,3,FALSE),"")</f>
        <v/>
      </c>
    </row>
    <row r="202" spans="1:11" customFormat="1" x14ac:dyDescent="0.2">
      <c r="A202" s="11" t="s">
        <v>125</v>
      </c>
      <c r="B202" s="11">
        <v>8</v>
      </c>
      <c r="C202" s="11"/>
      <c r="D202" s="21"/>
      <c r="E202" s="5" t="str">
        <f t="shared" si="9"/>
        <v>q7d2</v>
      </c>
      <c r="F202" s="5">
        <f t="shared" si="8"/>
        <v>0</v>
      </c>
      <c r="G202" s="13"/>
      <c r="H202" s="13"/>
      <c r="I202" s="13"/>
      <c r="J202" s="13"/>
      <c r="K202" s="13" t="str">
        <f>IF(A202&lt;&gt;"",VLOOKUP(A202,Variables!$A:$C,3,FALSE),"")</f>
        <v/>
      </c>
    </row>
    <row r="203" spans="1:11" customFormat="1" x14ac:dyDescent="0.2">
      <c r="A203" s="11" t="s">
        <v>125</v>
      </c>
      <c r="B203" s="11">
        <v>9</v>
      </c>
      <c r="C203" s="11"/>
      <c r="D203" s="21"/>
      <c r="E203" s="5" t="str">
        <f t="shared" si="9"/>
        <v>q7d2</v>
      </c>
      <c r="F203" s="5">
        <f t="shared" si="8"/>
        <v>0</v>
      </c>
      <c r="G203" s="13"/>
      <c r="H203" s="13"/>
      <c r="I203" s="13"/>
      <c r="J203" s="13"/>
      <c r="K203" s="13" t="str">
        <f>IF(A203&lt;&gt;"",VLOOKUP(A203,Variables!$A:$C,3,FALSE),"")</f>
        <v/>
      </c>
    </row>
    <row r="204" spans="1:11" customFormat="1" x14ac:dyDescent="0.2">
      <c r="A204" s="11" t="s">
        <v>125</v>
      </c>
      <c r="B204" s="11">
        <v>10</v>
      </c>
      <c r="C204" s="11"/>
      <c r="D204" s="21"/>
      <c r="E204" s="5" t="str">
        <f t="shared" si="9"/>
        <v>q7d2</v>
      </c>
      <c r="F204" s="5">
        <f t="shared" si="8"/>
        <v>0</v>
      </c>
      <c r="G204" s="13"/>
      <c r="H204" s="13"/>
      <c r="I204" s="13"/>
      <c r="J204" s="13"/>
      <c r="K204" s="13" t="str">
        <f>IF(A204&lt;&gt;"",VLOOKUP(A204,Variables!$A:$C,3,FALSE),"")</f>
        <v/>
      </c>
    </row>
    <row r="205" spans="1:11" customFormat="1" x14ac:dyDescent="0.2">
      <c r="A205" s="11" t="s">
        <v>125</v>
      </c>
      <c r="B205" s="11">
        <v>99</v>
      </c>
      <c r="C205" s="11"/>
      <c r="D205" s="21"/>
      <c r="E205" s="5" t="str">
        <f t="shared" si="9"/>
        <v>q7d2</v>
      </c>
      <c r="F205" s="5">
        <f t="shared" si="8"/>
        <v>0</v>
      </c>
      <c r="G205" s="13"/>
      <c r="H205" s="13"/>
      <c r="I205" s="13"/>
      <c r="J205" s="13"/>
      <c r="K205" s="13" t="str">
        <f>IF(A205&lt;&gt;"",VLOOKUP(A205,Variables!$A:$C,3,FALSE),"")</f>
        <v/>
      </c>
    </row>
    <row r="206" spans="1:11" customFormat="1" x14ac:dyDescent="0.2">
      <c r="A206" s="11" t="s">
        <v>337</v>
      </c>
      <c r="B206" s="11">
        <v>-2</v>
      </c>
      <c r="C206" s="11"/>
      <c r="D206" s="21"/>
      <c r="E206" s="5" t="str">
        <f t="shared" si="9"/>
        <v>q7e1</v>
      </c>
      <c r="F206" s="5">
        <f t="shared" si="8"/>
        <v>0</v>
      </c>
      <c r="G206" s="13"/>
      <c r="H206" s="13"/>
      <c r="I206" s="13"/>
      <c r="J206" s="13"/>
      <c r="K206" s="13">
        <f>IF(A206&lt;&gt;"",VLOOKUP(A206,Variables!$A:$C,3,FALSE),"")</f>
        <v>0</v>
      </c>
    </row>
    <row r="207" spans="1:11" customFormat="1" x14ac:dyDescent="0.2">
      <c r="A207" s="11" t="s">
        <v>125</v>
      </c>
      <c r="B207" s="11">
        <v>1</v>
      </c>
      <c r="C207" s="11"/>
      <c r="D207" s="21"/>
      <c r="E207" s="5" t="str">
        <f t="shared" si="9"/>
        <v>q7e1</v>
      </c>
      <c r="F207" s="5">
        <f t="shared" si="8"/>
        <v>0</v>
      </c>
      <c r="G207" s="13"/>
      <c r="H207" s="13"/>
      <c r="I207" s="13"/>
      <c r="J207" s="13"/>
      <c r="K207" s="13" t="str">
        <f>IF(A207&lt;&gt;"",VLOOKUP(A207,Variables!$A:$C,3,FALSE),"")</f>
        <v/>
      </c>
    </row>
    <row r="208" spans="1:11" customFormat="1" x14ac:dyDescent="0.2">
      <c r="A208" s="11" t="s">
        <v>125</v>
      </c>
      <c r="B208" s="11">
        <v>2</v>
      </c>
      <c r="C208" s="11"/>
      <c r="D208" s="21"/>
      <c r="E208" s="5" t="str">
        <f t="shared" si="9"/>
        <v>q7e1</v>
      </c>
      <c r="F208" s="5">
        <f t="shared" si="8"/>
        <v>0</v>
      </c>
      <c r="G208" s="13"/>
      <c r="H208" s="13"/>
      <c r="I208" s="13"/>
      <c r="J208" s="13"/>
      <c r="K208" s="13" t="str">
        <f>IF(A208&lt;&gt;"",VLOOKUP(A208,Variables!$A:$C,3,FALSE),"")</f>
        <v/>
      </c>
    </row>
    <row r="209" spans="1:11" customFormat="1" x14ac:dyDescent="0.2">
      <c r="A209" s="11" t="s">
        <v>125</v>
      </c>
      <c r="B209" s="11">
        <v>3</v>
      </c>
      <c r="C209" s="11"/>
      <c r="D209" s="21"/>
      <c r="E209" s="5" t="str">
        <f t="shared" si="9"/>
        <v>q7e1</v>
      </c>
      <c r="F209" s="5">
        <f t="shared" si="8"/>
        <v>0</v>
      </c>
      <c r="G209" s="13"/>
      <c r="H209" s="13"/>
      <c r="I209" s="13"/>
      <c r="J209" s="13"/>
      <c r="K209" s="13" t="str">
        <f>IF(A209&lt;&gt;"",VLOOKUP(A209,Variables!$A:$C,3,FALSE),"")</f>
        <v/>
      </c>
    </row>
    <row r="210" spans="1:11" customFormat="1" x14ac:dyDescent="0.2">
      <c r="A210" s="11" t="s">
        <v>125</v>
      </c>
      <c r="B210" s="11">
        <v>4</v>
      </c>
      <c r="C210" s="11"/>
      <c r="D210" s="21"/>
      <c r="E210" s="5" t="str">
        <f t="shared" si="9"/>
        <v>q7e1</v>
      </c>
      <c r="F210" s="5">
        <f t="shared" si="8"/>
        <v>0</v>
      </c>
      <c r="G210" s="13"/>
      <c r="H210" s="13"/>
      <c r="I210" s="13"/>
      <c r="J210" s="13"/>
      <c r="K210" s="13" t="str">
        <f>IF(A210&lt;&gt;"",VLOOKUP(A210,Variables!$A:$C,3,FALSE),"")</f>
        <v/>
      </c>
    </row>
    <row r="211" spans="1:11" customFormat="1" x14ac:dyDescent="0.2">
      <c r="A211" s="11" t="s">
        <v>125</v>
      </c>
      <c r="B211" s="11">
        <v>5</v>
      </c>
      <c r="C211" s="11"/>
      <c r="D211" s="21"/>
      <c r="E211" s="5" t="str">
        <f t="shared" si="9"/>
        <v>q7e1</v>
      </c>
      <c r="F211" s="5">
        <f t="shared" si="8"/>
        <v>0</v>
      </c>
      <c r="G211" s="13"/>
      <c r="H211" s="13"/>
      <c r="I211" s="13"/>
      <c r="J211" s="13"/>
      <c r="K211" s="13" t="str">
        <f>IF(A211&lt;&gt;"",VLOOKUP(A211,Variables!$A:$C,3,FALSE),"")</f>
        <v/>
      </c>
    </row>
    <row r="212" spans="1:11" customFormat="1" x14ac:dyDescent="0.2">
      <c r="A212" s="11" t="s">
        <v>125</v>
      </c>
      <c r="B212" s="11">
        <v>6</v>
      </c>
      <c r="C212" s="11"/>
      <c r="D212" s="21"/>
      <c r="E212" s="5" t="str">
        <f t="shared" si="9"/>
        <v>q7e1</v>
      </c>
      <c r="F212" s="5">
        <f t="shared" si="8"/>
        <v>0</v>
      </c>
      <c r="G212" s="13"/>
      <c r="H212" s="13"/>
      <c r="I212" s="13"/>
      <c r="J212" s="13"/>
      <c r="K212" s="13" t="str">
        <f>IF(A212&lt;&gt;"",VLOOKUP(A212,Variables!$A:$C,3,FALSE),"")</f>
        <v/>
      </c>
    </row>
    <row r="213" spans="1:11" customFormat="1" x14ac:dyDescent="0.2">
      <c r="A213" s="11" t="s">
        <v>125</v>
      </c>
      <c r="B213" s="11">
        <v>7</v>
      </c>
      <c r="C213" s="11"/>
      <c r="D213" s="21"/>
      <c r="E213" s="5" t="str">
        <f t="shared" si="9"/>
        <v>q7e1</v>
      </c>
      <c r="F213" s="5">
        <f t="shared" si="8"/>
        <v>0</v>
      </c>
      <c r="G213" s="13"/>
      <c r="H213" s="13"/>
      <c r="I213" s="13"/>
      <c r="J213" s="13"/>
      <c r="K213" s="13" t="str">
        <f>IF(A213&lt;&gt;"",VLOOKUP(A213,Variables!$A:$C,3,FALSE),"")</f>
        <v/>
      </c>
    </row>
    <row r="214" spans="1:11" customFormat="1" x14ac:dyDescent="0.2">
      <c r="A214" s="11" t="s">
        <v>125</v>
      </c>
      <c r="B214" s="11">
        <v>8</v>
      </c>
      <c r="C214" s="11"/>
      <c r="D214" s="21"/>
      <c r="E214" s="5" t="str">
        <f t="shared" si="9"/>
        <v>q7e1</v>
      </c>
      <c r="F214" s="5">
        <f t="shared" si="8"/>
        <v>0</v>
      </c>
      <c r="G214" s="13"/>
      <c r="H214" s="13"/>
      <c r="I214" s="13"/>
      <c r="J214" s="13"/>
      <c r="K214" s="13" t="str">
        <f>IF(A214&lt;&gt;"",VLOOKUP(A214,Variables!$A:$C,3,FALSE),"")</f>
        <v/>
      </c>
    </row>
    <row r="215" spans="1:11" customFormat="1" x14ac:dyDescent="0.2">
      <c r="A215" s="11" t="s">
        <v>125</v>
      </c>
      <c r="B215" s="11">
        <v>9</v>
      </c>
      <c r="C215" s="11"/>
      <c r="D215" s="21"/>
      <c r="E215" s="5" t="str">
        <f t="shared" si="9"/>
        <v>q7e1</v>
      </c>
      <c r="F215" s="5">
        <f t="shared" si="8"/>
        <v>0</v>
      </c>
      <c r="G215" s="13"/>
      <c r="H215" s="13"/>
      <c r="I215" s="13"/>
      <c r="J215" s="13"/>
      <c r="K215" s="13" t="str">
        <f>IF(A215&lt;&gt;"",VLOOKUP(A215,Variables!$A:$C,3,FALSE),"")</f>
        <v/>
      </c>
    </row>
    <row r="216" spans="1:11" customFormat="1" x14ac:dyDescent="0.2">
      <c r="A216" s="11" t="s">
        <v>125</v>
      </c>
      <c r="B216" s="11">
        <v>10</v>
      </c>
      <c r="C216" s="11"/>
      <c r="D216" s="21"/>
      <c r="E216" s="5" t="str">
        <f t="shared" si="9"/>
        <v>q7e1</v>
      </c>
      <c r="F216" s="5">
        <f t="shared" si="8"/>
        <v>0</v>
      </c>
      <c r="G216" s="13"/>
      <c r="H216" s="13"/>
      <c r="I216" s="13"/>
      <c r="J216" s="13"/>
      <c r="K216" s="13" t="str">
        <f>IF(A216&lt;&gt;"",VLOOKUP(A216,Variables!$A:$C,3,FALSE),"")</f>
        <v/>
      </c>
    </row>
    <row r="217" spans="1:11" customFormat="1" x14ac:dyDescent="0.2">
      <c r="A217" s="11" t="s">
        <v>125</v>
      </c>
      <c r="B217" s="11">
        <v>99</v>
      </c>
      <c r="C217" s="11"/>
      <c r="D217" s="21"/>
      <c r="E217" s="5" t="str">
        <f t="shared" si="9"/>
        <v>q7e1</v>
      </c>
      <c r="F217" s="5">
        <f t="shared" si="8"/>
        <v>0</v>
      </c>
      <c r="G217" s="13"/>
      <c r="H217" s="13"/>
      <c r="I217" s="13"/>
      <c r="J217" s="13"/>
      <c r="K217" s="13" t="str">
        <f>IF(A217&lt;&gt;"",VLOOKUP(A217,Variables!$A:$C,3,FALSE),"")</f>
        <v/>
      </c>
    </row>
    <row r="218" spans="1:11" customFormat="1" x14ac:dyDescent="0.2">
      <c r="A218" s="11" t="s">
        <v>338</v>
      </c>
      <c r="B218" s="11">
        <v>-2</v>
      </c>
      <c r="C218" s="11"/>
      <c r="D218" s="21"/>
      <c r="E218" s="5" t="str">
        <f t="shared" si="9"/>
        <v>q7e2</v>
      </c>
      <c r="F218" s="5">
        <f t="shared" si="8"/>
        <v>0</v>
      </c>
      <c r="G218" s="13"/>
      <c r="H218" s="13"/>
      <c r="I218" s="13"/>
      <c r="J218" s="13"/>
      <c r="K218" s="13">
        <f>IF(A218&lt;&gt;"",VLOOKUP(A218,Variables!$A:$C,3,FALSE),"")</f>
        <v>0</v>
      </c>
    </row>
    <row r="219" spans="1:11" customFormat="1" x14ac:dyDescent="0.2">
      <c r="A219" s="11" t="s">
        <v>125</v>
      </c>
      <c r="B219" s="11">
        <v>1</v>
      </c>
      <c r="C219" s="11"/>
      <c r="D219" s="21"/>
      <c r="E219" s="5" t="str">
        <f t="shared" si="9"/>
        <v>q7e2</v>
      </c>
      <c r="F219" s="5">
        <f t="shared" si="8"/>
        <v>0</v>
      </c>
      <c r="G219" s="13"/>
      <c r="H219" s="13"/>
      <c r="I219" s="13"/>
      <c r="J219" s="13"/>
      <c r="K219" s="13" t="str">
        <f>IF(A219&lt;&gt;"",VLOOKUP(A219,Variables!$A:$C,3,FALSE),"")</f>
        <v/>
      </c>
    </row>
    <row r="220" spans="1:11" customFormat="1" x14ac:dyDescent="0.2">
      <c r="A220" s="11" t="s">
        <v>125</v>
      </c>
      <c r="B220" s="11">
        <v>2</v>
      </c>
      <c r="C220" s="11"/>
      <c r="D220" s="21"/>
      <c r="E220" s="5" t="str">
        <f t="shared" si="9"/>
        <v>q7e2</v>
      </c>
      <c r="F220" s="5">
        <f t="shared" ref="F220:F283" si="10">LEN(C220)</f>
        <v>0</v>
      </c>
      <c r="G220" s="13"/>
      <c r="H220" s="13"/>
      <c r="I220" s="13"/>
      <c r="J220" s="13"/>
      <c r="K220" s="13" t="str">
        <f>IF(A220&lt;&gt;"",VLOOKUP(A220,Variables!$A:$C,3,FALSE),"")</f>
        <v/>
      </c>
    </row>
    <row r="221" spans="1:11" customFormat="1" x14ac:dyDescent="0.2">
      <c r="A221" s="11" t="s">
        <v>125</v>
      </c>
      <c r="B221" s="11">
        <v>3</v>
      </c>
      <c r="C221" s="11"/>
      <c r="D221" s="21"/>
      <c r="E221" s="5" t="str">
        <f t="shared" si="9"/>
        <v>q7e2</v>
      </c>
      <c r="F221" s="5">
        <f t="shared" si="10"/>
        <v>0</v>
      </c>
      <c r="G221" s="13"/>
      <c r="H221" s="13"/>
      <c r="I221" s="13"/>
      <c r="J221" s="13"/>
      <c r="K221" s="13" t="str">
        <f>IF(A221&lt;&gt;"",VLOOKUP(A221,Variables!$A:$C,3,FALSE),"")</f>
        <v/>
      </c>
    </row>
    <row r="222" spans="1:11" customFormat="1" x14ac:dyDescent="0.2">
      <c r="A222" s="11" t="s">
        <v>125</v>
      </c>
      <c r="B222" s="11">
        <v>4</v>
      </c>
      <c r="C222" s="11"/>
      <c r="D222" s="21"/>
      <c r="E222" s="5" t="str">
        <f t="shared" si="9"/>
        <v>q7e2</v>
      </c>
      <c r="F222" s="5">
        <f t="shared" si="10"/>
        <v>0</v>
      </c>
      <c r="G222" s="13"/>
      <c r="H222" s="13"/>
      <c r="I222" s="13"/>
      <c r="J222" s="13"/>
      <c r="K222" s="13" t="str">
        <f>IF(A222&lt;&gt;"",VLOOKUP(A222,Variables!$A:$C,3,FALSE),"")</f>
        <v/>
      </c>
    </row>
    <row r="223" spans="1:11" customFormat="1" x14ac:dyDescent="0.2">
      <c r="A223" s="11" t="s">
        <v>125</v>
      </c>
      <c r="B223" s="11">
        <v>5</v>
      </c>
      <c r="C223" s="11"/>
      <c r="D223" s="21"/>
      <c r="E223" s="5" t="str">
        <f t="shared" si="9"/>
        <v>q7e2</v>
      </c>
      <c r="F223" s="5">
        <f t="shared" si="10"/>
        <v>0</v>
      </c>
      <c r="G223" s="13"/>
      <c r="H223" s="13"/>
      <c r="I223" s="13"/>
      <c r="J223" s="13"/>
      <c r="K223" s="13" t="str">
        <f>IF(A223&lt;&gt;"",VLOOKUP(A223,Variables!$A:$C,3,FALSE),"")</f>
        <v/>
      </c>
    </row>
    <row r="224" spans="1:11" customFormat="1" x14ac:dyDescent="0.2">
      <c r="A224" s="11" t="s">
        <v>125</v>
      </c>
      <c r="B224" s="11">
        <v>6</v>
      </c>
      <c r="C224" s="11"/>
      <c r="D224" s="21"/>
      <c r="E224" s="5" t="str">
        <f t="shared" si="9"/>
        <v>q7e2</v>
      </c>
      <c r="F224" s="5">
        <f t="shared" si="10"/>
        <v>0</v>
      </c>
      <c r="G224" s="13"/>
      <c r="H224" s="13"/>
      <c r="I224" s="13"/>
      <c r="J224" s="13"/>
      <c r="K224" s="13" t="str">
        <f>IF(A224&lt;&gt;"",VLOOKUP(A224,Variables!$A:$C,3,FALSE),"")</f>
        <v/>
      </c>
    </row>
    <row r="225" spans="1:11" customFormat="1" x14ac:dyDescent="0.2">
      <c r="A225" s="11" t="s">
        <v>125</v>
      </c>
      <c r="B225" s="11">
        <v>7</v>
      </c>
      <c r="C225" s="11"/>
      <c r="D225" s="21"/>
      <c r="E225" s="5" t="str">
        <f t="shared" si="9"/>
        <v>q7e2</v>
      </c>
      <c r="F225" s="5">
        <f t="shared" si="10"/>
        <v>0</v>
      </c>
      <c r="G225" s="13"/>
      <c r="H225" s="13"/>
      <c r="I225" s="13"/>
      <c r="J225" s="13"/>
      <c r="K225" s="13" t="str">
        <f>IF(A225&lt;&gt;"",VLOOKUP(A225,Variables!$A:$C,3,FALSE),"")</f>
        <v/>
      </c>
    </row>
    <row r="226" spans="1:11" customFormat="1" x14ac:dyDescent="0.2">
      <c r="A226" s="11" t="s">
        <v>125</v>
      </c>
      <c r="B226" s="11">
        <v>8</v>
      </c>
      <c r="C226" s="11"/>
      <c r="D226" s="21"/>
      <c r="E226" s="5" t="str">
        <f t="shared" si="9"/>
        <v>q7e2</v>
      </c>
      <c r="F226" s="5">
        <f t="shared" si="10"/>
        <v>0</v>
      </c>
      <c r="G226" s="13"/>
      <c r="H226" s="13"/>
      <c r="I226" s="13"/>
      <c r="J226" s="13"/>
      <c r="K226" s="13" t="str">
        <f>IF(A226&lt;&gt;"",VLOOKUP(A226,Variables!$A:$C,3,FALSE),"")</f>
        <v/>
      </c>
    </row>
    <row r="227" spans="1:11" customFormat="1" x14ac:dyDescent="0.2">
      <c r="A227" s="11" t="s">
        <v>125</v>
      </c>
      <c r="B227" s="11">
        <v>9</v>
      </c>
      <c r="C227" s="11"/>
      <c r="D227" s="21"/>
      <c r="E227" s="5" t="str">
        <f t="shared" si="9"/>
        <v>q7e2</v>
      </c>
      <c r="F227" s="5">
        <f t="shared" si="10"/>
        <v>0</v>
      </c>
      <c r="G227" s="13"/>
      <c r="H227" s="13"/>
      <c r="I227" s="13"/>
      <c r="J227" s="13"/>
      <c r="K227" s="13" t="str">
        <f>IF(A227&lt;&gt;"",VLOOKUP(A227,Variables!$A:$C,3,FALSE),"")</f>
        <v/>
      </c>
    </row>
    <row r="228" spans="1:11" customFormat="1" ht="12.75" customHeight="1" x14ac:dyDescent="0.2">
      <c r="A228" s="11" t="s">
        <v>125</v>
      </c>
      <c r="B228" s="11">
        <v>10</v>
      </c>
      <c r="C228" s="11"/>
      <c r="D228" s="21"/>
      <c r="E228" s="5" t="str">
        <f t="shared" si="9"/>
        <v>q7e2</v>
      </c>
      <c r="F228" s="5">
        <f t="shared" si="10"/>
        <v>0</v>
      </c>
      <c r="G228" s="13"/>
      <c r="H228" s="13"/>
      <c r="I228" s="13"/>
      <c r="J228" s="13"/>
      <c r="K228" s="13" t="str">
        <f>IF(A228&lt;&gt;"",VLOOKUP(A228,Variables!$A:$C,3,FALSE),"")</f>
        <v/>
      </c>
    </row>
    <row r="229" spans="1:11" customFormat="1" x14ac:dyDescent="0.2">
      <c r="A229" s="11" t="s">
        <v>125</v>
      </c>
      <c r="B229" s="11">
        <v>99</v>
      </c>
      <c r="C229" s="11"/>
      <c r="D229" s="21"/>
      <c r="E229" s="5" t="str">
        <f t="shared" si="9"/>
        <v>q7e2</v>
      </c>
      <c r="F229" s="5">
        <f t="shared" si="10"/>
        <v>0</v>
      </c>
      <c r="G229" s="13"/>
      <c r="H229" s="13"/>
      <c r="I229" s="13"/>
      <c r="J229" s="13"/>
      <c r="K229" s="13" t="str">
        <f>IF(A229&lt;&gt;"",VLOOKUP(A229,Variables!$A:$C,3,FALSE),"")</f>
        <v/>
      </c>
    </row>
    <row r="230" spans="1:11" customFormat="1" ht="12.75" customHeight="1" x14ac:dyDescent="0.2">
      <c r="A230" s="11" t="s">
        <v>339</v>
      </c>
      <c r="B230" s="11">
        <v>-2</v>
      </c>
      <c r="C230" s="11"/>
      <c r="D230" s="21"/>
      <c r="E230" s="5" t="str">
        <f t="shared" si="9"/>
        <v>q7f1</v>
      </c>
      <c r="F230" s="5">
        <f t="shared" si="10"/>
        <v>0</v>
      </c>
      <c r="G230" s="13"/>
      <c r="H230" s="13"/>
      <c r="I230" s="13"/>
      <c r="J230" s="13"/>
      <c r="K230" s="13">
        <f>IF(A230&lt;&gt;"",VLOOKUP(A230,Variables!$A:$C,3,FALSE),"")</f>
        <v>0</v>
      </c>
    </row>
    <row r="231" spans="1:11" customFormat="1" x14ac:dyDescent="0.2">
      <c r="A231" s="11" t="s">
        <v>125</v>
      </c>
      <c r="B231" s="11">
        <v>1</v>
      </c>
      <c r="C231" s="11"/>
      <c r="D231" s="21"/>
      <c r="E231" s="5" t="str">
        <f t="shared" si="9"/>
        <v>q7f1</v>
      </c>
      <c r="F231" s="5">
        <f t="shared" si="10"/>
        <v>0</v>
      </c>
      <c r="G231" s="13"/>
      <c r="H231" s="13"/>
      <c r="I231" s="13"/>
      <c r="J231" s="13"/>
      <c r="K231" s="13" t="str">
        <f>IF(A231&lt;&gt;"",VLOOKUP(A231,Variables!$A:$C,3,FALSE),"")</f>
        <v/>
      </c>
    </row>
    <row r="232" spans="1:11" customFormat="1" ht="12.75" customHeight="1" x14ac:dyDescent="0.2">
      <c r="A232" s="11" t="s">
        <v>125</v>
      </c>
      <c r="B232" s="11">
        <v>2</v>
      </c>
      <c r="C232" s="11"/>
      <c r="D232" s="21"/>
      <c r="E232" s="5" t="str">
        <f t="shared" si="9"/>
        <v>q7f1</v>
      </c>
      <c r="F232" s="5">
        <f t="shared" si="10"/>
        <v>0</v>
      </c>
      <c r="G232" s="13"/>
      <c r="H232" s="13"/>
      <c r="I232" s="13"/>
      <c r="J232" s="13"/>
      <c r="K232" s="13" t="str">
        <f>IF(A232&lt;&gt;"",VLOOKUP(A232,Variables!$A:$C,3,FALSE),"")</f>
        <v/>
      </c>
    </row>
    <row r="233" spans="1:11" customFormat="1" x14ac:dyDescent="0.2">
      <c r="A233" s="11" t="s">
        <v>125</v>
      </c>
      <c r="B233" s="11">
        <v>3</v>
      </c>
      <c r="C233" s="11"/>
      <c r="D233" s="21"/>
      <c r="E233" s="5" t="str">
        <f t="shared" si="9"/>
        <v>q7f1</v>
      </c>
      <c r="F233" s="5">
        <f t="shared" si="10"/>
        <v>0</v>
      </c>
      <c r="G233" s="13"/>
      <c r="H233" s="13"/>
      <c r="I233" s="13"/>
      <c r="J233" s="13"/>
      <c r="K233" s="13" t="str">
        <f>IF(A233&lt;&gt;"",VLOOKUP(A233,Variables!$A:$C,3,FALSE),"")</f>
        <v/>
      </c>
    </row>
    <row r="234" spans="1:11" customFormat="1" ht="12.75" customHeight="1" x14ac:dyDescent="0.2">
      <c r="A234" s="11" t="s">
        <v>125</v>
      </c>
      <c r="B234" s="11">
        <v>4</v>
      </c>
      <c r="C234" s="11"/>
      <c r="D234" s="21"/>
      <c r="E234" s="5" t="str">
        <f t="shared" si="9"/>
        <v>q7f1</v>
      </c>
      <c r="F234" s="5">
        <f t="shared" si="10"/>
        <v>0</v>
      </c>
      <c r="G234" s="13"/>
      <c r="H234" s="13"/>
      <c r="I234" s="13"/>
      <c r="J234" s="13"/>
      <c r="K234" s="13" t="str">
        <f>IF(A234&lt;&gt;"",VLOOKUP(A234,Variables!$A:$C,3,FALSE),"")</f>
        <v/>
      </c>
    </row>
    <row r="235" spans="1:11" customFormat="1" x14ac:dyDescent="0.2">
      <c r="A235" s="11" t="s">
        <v>125</v>
      </c>
      <c r="B235" s="11">
        <v>5</v>
      </c>
      <c r="C235" s="11"/>
      <c r="D235" s="21"/>
      <c r="E235" s="5" t="str">
        <f t="shared" si="9"/>
        <v>q7f1</v>
      </c>
      <c r="F235" s="5">
        <f t="shared" si="10"/>
        <v>0</v>
      </c>
      <c r="G235" s="13"/>
      <c r="H235" s="13"/>
      <c r="I235" s="13"/>
      <c r="J235" s="13"/>
      <c r="K235" s="13" t="str">
        <f>IF(A235&lt;&gt;"",VLOOKUP(A235,Variables!$A:$C,3,FALSE),"")</f>
        <v/>
      </c>
    </row>
    <row r="236" spans="1:11" customFormat="1" ht="12.75" customHeight="1" x14ac:dyDescent="0.2">
      <c r="A236" s="11" t="s">
        <v>125</v>
      </c>
      <c r="B236" s="11">
        <v>6</v>
      </c>
      <c r="C236" s="11"/>
      <c r="D236" s="21"/>
      <c r="E236" s="5" t="str">
        <f t="shared" si="9"/>
        <v>q7f1</v>
      </c>
      <c r="F236" s="5">
        <f t="shared" si="10"/>
        <v>0</v>
      </c>
      <c r="G236" s="13"/>
      <c r="H236" s="13"/>
      <c r="I236" s="13"/>
      <c r="J236" s="13"/>
      <c r="K236" s="13" t="str">
        <f>IF(A236&lt;&gt;"",VLOOKUP(A236,Variables!$A:$C,3,FALSE),"")</f>
        <v/>
      </c>
    </row>
    <row r="237" spans="1:11" customFormat="1" x14ac:dyDescent="0.2">
      <c r="A237" s="11" t="s">
        <v>125</v>
      </c>
      <c r="B237" s="11">
        <v>7</v>
      </c>
      <c r="C237" s="11"/>
      <c r="D237" s="21"/>
      <c r="E237" s="5" t="str">
        <f t="shared" si="9"/>
        <v>q7f1</v>
      </c>
      <c r="F237" s="5">
        <f t="shared" si="10"/>
        <v>0</v>
      </c>
      <c r="G237" s="13"/>
      <c r="H237" s="13"/>
      <c r="I237" s="13"/>
      <c r="J237" s="13"/>
      <c r="K237" s="13" t="str">
        <f>IF(A237&lt;&gt;"",VLOOKUP(A237,Variables!$A:$C,3,FALSE),"")</f>
        <v/>
      </c>
    </row>
    <row r="238" spans="1:11" customFormat="1" ht="12.75" customHeight="1" x14ac:dyDescent="0.2">
      <c r="A238" s="11" t="s">
        <v>125</v>
      </c>
      <c r="B238" s="11">
        <v>8</v>
      </c>
      <c r="C238" s="11"/>
      <c r="D238" s="21"/>
      <c r="E238" s="5" t="str">
        <f t="shared" si="9"/>
        <v>q7f1</v>
      </c>
      <c r="F238" s="5">
        <f t="shared" si="10"/>
        <v>0</v>
      </c>
      <c r="G238" s="13"/>
      <c r="H238" s="13"/>
      <c r="I238" s="13"/>
      <c r="J238" s="13"/>
      <c r="K238" s="13" t="str">
        <f>IF(A238&lt;&gt;"",VLOOKUP(A238,Variables!$A:$C,3,FALSE),"")</f>
        <v/>
      </c>
    </row>
    <row r="239" spans="1:11" customFormat="1" x14ac:dyDescent="0.2">
      <c r="A239" s="11" t="s">
        <v>125</v>
      </c>
      <c r="B239" s="11">
        <v>9</v>
      </c>
      <c r="C239" s="11"/>
      <c r="D239" s="21"/>
      <c r="E239" s="5" t="str">
        <f t="shared" ref="E239:E302" si="11">IF(A239&lt;&gt;"",IF(V_LabelvorVariablen=TRUE,A239,IF(VLOOKUP(A239,V_VariablenEigenschaften,12,FALSE)="",A239,VLOOKUP(A239,V_VariablenEigenschaften,12,FALSE))),E238)</f>
        <v>q7f1</v>
      </c>
      <c r="F239" s="5">
        <f t="shared" si="10"/>
        <v>0</v>
      </c>
      <c r="G239" s="13"/>
      <c r="H239" s="13"/>
      <c r="I239" s="13"/>
      <c r="J239" s="13"/>
      <c r="K239" s="13" t="str">
        <f>IF(A239&lt;&gt;"",VLOOKUP(A239,Variables!$A:$C,3,FALSE),"")</f>
        <v/>
      </c>
    </row>
    <row r="240" spans="1:11" customFormat="1" ht="12.75" customHeight="1" x14ac:dyDescent="0.2">
      <c r="A240" s="11" t="s">
        <v>125</v>
      </c>
      <c r="B240" s="11">
        <v>10</v>
      </c>
      <c r="C240" s="11"/>
      <c r="D240" s="21"/>
      <c r="E240" s="5" t="str">
        <f t="shared" si="11"/>
        <v>q7f1</v>
      </c>
      <c r="F240" s="5">
        <f t="shared" si="10"/>
        <v>0</v>
      </c>
      <c r="G240" s="13"/>
      <c r="H240" s="13"/>
      <c r="I240" s="13"/>
      <c r="J240" s="13"/>
      <c r="K240" s="13" t="str">
        <f>IF(A240&lt;&gt;"",VLOOKUP(A240,Variables!$A:$C,3,FALSE),"")</f>
        <v/>
      </c>
    </row>
    <row r="241" spans="1:11" customFormat="1" x14ac:dyDescent="0.2">
      <c r="A241" s="11" t="s">
        <v>125</v>
      </c>
      <c r="B241" s="11">
        <v>99</v>
      </c>
      <c r="C241" s="11"/>
      <c r="D241" s="21"/>
      <c r="E241" s="5" t="str">
        <f t="shared" si="11"/>
        <v>q7f1</v>
      </c>
      <c r="F241" s="5">
        <f t="shared" si="10"/>
        <v>0</v>
      </c>
      <c r="G241" s="13"/>
      <c r="H241" s="13"/>
      <c r="I241" s="13"/>
      <c r="J241" s="13"/>
      <c r="K241" s="13" t="str">
        <f>IF(A241&lt;&gt;"",VLOOKUP(A241,Variables!$A:$C,3,FALSE),"")</f>
        <v/>
      </c>
    </row>
    <row r="242" spans="1:11" customFormat="1" x14ac:dyDescent="0.2">
      <c r="A242" s="11" t="s">
        <v>340</v>
      </c>
      <c r="B242" s="11">
        <v>-2</v>
      </c>
      <c r="C242" s="11"/>
      <c r="D242" s="21"/>
      <c r="E242" s="5" t="str">
        <f t="shared" si="11"/>
        <v>q7f2</v>
      </c>
      <c r="F242" s="5">
        <f t="shared" si="10"/>
        <v>0</v>
      </c>
      <c r="G242" s="13"/>
      <c r="H242" s="13"/>
      <c r="I242" s="13"/>
      <c r="J242" s="13"/>
      <c r="K242" s="13">
        <f>IF(A242&lt;&gt;"",VLOOKUP(A242,Variables!$A:$C,3,FALSE),"")</f>
        <v>0</v>
      </c>
    </row>
    <row r="243" spans="1:11" customFormat="1" x14ac:dyDescent="0.2">
      <c r="A243" s="11" t="s">
        <v>125</v>
      </c>
      <c r="B243" s="11">
        <v>1</v>
      </c>
      <c r="C243" s="11"/>
      <c r="D243" s="21"/>
      <c r="E243" s="5" t="str">
        <f t="shared" si="11"/>
        <v>q7f2</v>
      </c>
      <c r="F243" s="5">
        <f t="shared" si="10"/>
        <v>0</v>
      </c>
      <c r="G243" s="13"/>
      <c r="H243" s="13"/>
      <c r="I243" s="13"/>
      <c r="J243" s="13"/>
      <c r="K243" s="13" t="str">
        <f>IF(A243&lt;&gt;"",VLOOKUP(A243,Variables!$A:$C,3,FALSE),"")</f>
        <v/>
      </c>
    </row>
    <row r="244" spans="1:11" customFormat="1" x14ac:dyDescent="0.2">
      <c r="A244" s="11" t="s">
        <v>125</v>
      </c>
      <c r="B244" s="11">
        <v>2</v>
      </c>
      <c r="C244" s="11"/>
      <c r="D244" s="21"/>
      <c r="E244" s="5" t="str">
        <f t="shared" si="11"/>
        <v>q7f2</v>
      </c>
      <c r="F244" s="5">
        <f t="shared" si="10"/>
        <v>0</v>
      </c>
      <c r="G244" s="13"/>
      <c r="H244" s="13"/>
      <c r="I244" s="13"/>
      <c r="J244" s="13"/>
      <c r="K244" s="13" t="str">
        <f>IF(A244&lt;&gt;"",VLOOKUP(A244,Variables!$A:$C,3,FALSE),"")</f>
        <v/>
      </c>
    </row>
    <row r="245" spans="1:11" customFormat="1" x14ac:dyDescent="0.2">
      <c r="A245" s="11" t="s">
        <v>125</v>
      </c>
      <c r="B245" s="11">
        <v>3</v>
      </c>
      <c r="C245" s="11"/>
      <c r="D245" s="21"/>
      <c r="E245" s="5" t="str">
        <f t="shared" si="11"/>
        <v>q7f2</v>
      </c>
      <c r="F245" s="5">
        <f t="shared" si="10"/>
        <v>0</v>
      </c>
      <c r="G245" s="13"/>
      <c r="H245" s="13"/>
      <c r="I245" s="13"/>
      <c r="J245" s="13"/>
      <c r="K245" s="13" t="str">
        <f>IF(A245&lt;&gt;"",VLOOKUP(A245,Variables!$A:$C,3,FALSE),"")</f>
        <v/>
      </c>
    </row>
    <row r="246" spans="1:11" customFormat="1" x14ac:dyDescent="0.2">
      <c r="A246" s="11" t="s">
        <v>125</v>
      </c>
      <c r="B246" s="11">
        <v>4</v>
      </c>
      <c r="C246" s="11"/>
      <c r="D246" s="21"/>
      <c r="E246" s="5" t="str">
        <f t="shared" si="11"/>
        <v>q7f2</v>
      </c>
      <c r="F246" s="5">
        <f t="shared" si="10"/>
        <v>0</v>
      </c>
      <c r="G246" s="13"/>
      <c r="H246" s="13"/>
      <c r="I246" s="13"/>
      <c r="J246" s="13"/>
      <c r="K246" s="13" t="str">
        <f>IF(A246&lt;&gt;"",VLOOKUP(A246,Variables!$A:$C,3,FALSE),"")</f>
        <v/>
      </c>
    </row>
    <row r="247" spans="1:11" customFormat="1" x14ac:dyDescent="0.2">
      <c r="A247" s="11" t="s">
        <v>125</v>
      </c>
      <c r="B247" s="11">
        <v>5</v>
      </c>
      <c r="C247" s="11"/>
      <c r="D247" s="21"/>
      <c r="E247" s="5" t="str">
        <f t="shared" si="11"/>
        <v>q7f2</v>
      </c>
      <c r="F247" s="5">
        <f t="shared" si="10"/>
        <v>0</v>
      </c>
      <c r="G247" s="13"/>
      <c r="H247" s="13"/>
      <c r="I247" s="13"/>
      <c r="J247" s="13"/>
      <c r="K247" s="13" t="str">
        <f>IF(A247&lt;&gt;"",VLOOKUP(A247,Variables!$A:$C,3,FALSE),"")</f>
        <v/>
      </c>
    </row>
    <row r="248" spans="1:11" customFormat="1" x14ac:dyDescent="0.2">
      <c r="A248" s="11" t="s">
        <v>125</v>
      </c>
      <c r="B248" s="11">
        <v>6</v>
      </c>
      <c r="C248" s="11"/>
      <c r="D248" s="21"/>
      <c r="E248" s="5" t="str">
        <f t="shared" si="11"/>
        <v>q7f2</v>
      </c>
      <c r="F248" s="5">
        <f t="shared" si="10"/>
        <v>0</v>
      </c>
      <c r="G248" s="13"/>
      <c r="H248" s="13"/>
      <c r="I248" s="13"/>
      <c r="J248" s="13"/>
      <c r="K248" s="13" t="str">
        <f>IF(A248&lt;&gt;"",VLOOKUP(A248,Variables!$A:$C,3,FALSE),"")</f>
        <v/>
      </c>
    </row>
    <row r="249" spans="1:11" customFormat="1" x14ac:dyDescent="0.2">
      <c r="A249" s="11" t="s">
        <v>125</v>
      </c>
      <c r="B249" s="11">
        <v>7</v>
      </c>
      <c r="C249" s="11"/>
      <c r="D249" s="21"/>
      <c r="E249" s="5" t="str">
        <f t="shared" si="11"/>
        <v>q7f2</v>
      </c>
      <c r="F249" s="5">
        <f t="shared" si="10"/>
        <v>0</v>
      </c>
      <c r="G249" s="13"/>
      <c r="H249" s="13"/>
      <c r="I249" s="13"/>
      <c r="J249" s="13"/>
      <c r="K249" s="13" t="str">
        <f>IF(A249&lt;&gt;"",VLOOKUP(A249,Variables!$A:$C,3,FALSE),"")</f>
        <v/>
      </c>
    </row>
    <row r="250" spans="1:11" customFormat="1" x14ac:dyDescent="0.2">
      <c r="A250" s="11" t="s">
        <v>125</v>
      </c>
      <c r="B250" s="11">
        <v>8</v>
      </c>
      <c r="C250" s="11"/>
      <c r="D250" s="21"/>
      <c r="E250" s="5" t="str">
        <f t="shared" si="11"/>
        <v>q7f2</v>
      </c>
      <c r="F250" s="5">
        <f t="shared" si="10"/>
        <v>0</v>
      </c>
      <c r="G250" s="13"/>
      <c r="H250" s="13"/>
      <c r="I250" s="13"/>
      <c r="J250" s="13"/>
      <c r="K250" s="13" t="str">
        <f>IF(A250&lt;&gt;"",VLOOKUP(A250,Variables!$A:$C,3,FALSE),"")</f>
        <v/>
      </c>
    </row>
    <row r="251" spans="1:11" customFormat="1" x14ac:dyDescent="0.2">
      <c r="A251" s="11" t="s">
        <v>125</v>
      </c>
      <c r="B251" s="11">
        <v>9</v>
      </c>
      <c r="C251" s="11"/>
      <c r="D251" s="21"/>
      <c r="E251" s="5" t="str">
        <f t="shared" si="11"/>
        <v>q7f2</v>
      </c>
      <c r="F251" s="5">
        <f t="shared" si="10"/>
        <v>0</v>
      </c>
      <c r="G251" s="13"/>
      <c r="H251" s="13"/>
      <c r="I251" s="13"/>
      <c r="J251" s="13"/>
      <c r="K251" s="13" t="str">
        <f>IF(A251&lt;&gt;"",VLOOKUP(A251,Variables!$A:$C,3,FALSE),"")</f>
        <v/>
      </c>
    </row>
    <row r="252" spans="1:11" customFormat="1" x14ac:dyDescent="0.2">
      <c r="A252" s="11" t="s">
        <v>125</v>
      </c>
      <c r="B252" s="11">
        <v>10</v>
      </c>
      <c r="C252" s="11"/>
      <c r="D252" s="21"/>
      <c r="E252" s="5" t="str">
        <f t="shared" si="11"/>
        <v>q7f2</v>
      </c>
      <c r="F252" s="5">
        <f t="shared" si="10"/>
        <v>0</v>
      </c>
      <c r="G252" s="13"/>
      <c r="H252" s="13"/>
      <c r="I252" s="13"/>
      <c r="J252" s="13"/>
      <c r="K252" s="13" t="str">
        <f>IF(A252&lt;&gt;"",VLOOKUP(A252,Variables!$A:$C,3,FALSE),"")</f>
        <v/>
      </c>
    </row>
    <row r="253" spans="1:11" customFormat="1" x14ac:dyDescent="0.2">
      <c r="A253" s="11" t="s">
        <v>125</v>
      </c>
      <c r="B253" s="11">
        <v>99</v>
      </c>
      <c r="C253" s="11"/>
      <c r="D253" s="21"/>
      <c r="E253" s="5" t="str">
        <f t="shared" si="11"/>
        <v>q7f2</v>
      </c>
      <c r="F253" s="5">
        <f t="shared" si="10"/>
        <v>0</v>
      </c>
      <c r="G253" s="13"/>
      <c r="H253" s="13"/>
      <c r="I253" s="13"/>
      <c r="J253" s="13"/>
      <c r="K253" s="13" t="str">
        <f>IF(A253&lt;&gt;"",VLOOKUP(A253,Variables!$A:$C,3,FALSE),"")</f>
        <v/>
      </c>
    </row>
    <row r="254" spans="1:11" customFormat="1" x14ac:dyDescent="0.2">
      <c r="A254" s="11" t="s">
        <v>341</v>
      </c>
      <c r="B254" s="11">
        <v>-2</v>
      </c>
      <c r="C254" s="11"/>
      <c r="D254" s="21"/>
      <c r="E254" s="5" t="str">
        <f t="shared" si="11"/>
        <v>q7g1</v>
      </c>
      <c r="F254" s="5">
        <f t="shared" si="10"/>
        <v>0</v>
      </c>
      <c r="G254" s="13"/>
      <c r="H254" s="13"/>
      <c r="I254" s="13"/>
      <c r="J254" s="13"/>
      <c r="K254" s="13">
        <f>IF(A254&lt;&gt;"",VLOOKUP(A254,Variables!$A:$C,3,FALSE),"")</f>
        <v>0</v>
      </c>
    </row>
    <row r="255" spans="1:11" customFormat="1" x14ac:dyDescent="0.2">
      <c r="A255" s="11" t="s">
        <v>125</v>
      </c>
      <c r="B255" s="11">
        <v>1</v>
      </c>
      <c r="C255" s="11"/>
      <c r="D255" s="21"/>
      <c r="E255" s="5" t="str">
        <f t="shared" si="11"/>
        <v>q7g1</v>
      </c>
      <c r="F255" s="5">
        <f t="shared" si="10"/>
        <v>0</v>
      </c>
      <c r="G255" s="13"/>
      <c r="H255" s="13"/>
      <c r="I255" s="13"/>
      <c r="J255" s="13"/>
      <c r="K255" s="13" t="str">
        <f>IF(A255&lt;&gt;"",VLOOKUP(A255,Variables!$A:$C,3,FALSE),"")</f>
        <v/>
      </c>
    </row>
    <row r="256" spans="1:11" customFormat="1" x14ac:dyDescent="0.2">
      <c r="A256" s="11" t="s">
        <v>125</v>
      </c>
      <c r="B256" s="11">
        <v>2</v>
      </c>
      <c r="C256" s="11"/>
      <c r="D256" s="21"/>
      <c r="E256" s="5" t="str">
        <f t="shared" si="11"/>
        <v>q7g1</v>
      </c>
      <c r="F256" s="5">
        <f t="shared" si="10"/>
        <v>0</v>
      </c>
      <c r="G256" s="13"/>
      <c r="H256" s="13"/>
      <c r="I256" s="13"/>
      <c r="J256" s="13"/>
      <c r="K256" s="13" t="str">
        <f>IF(A256&lt;&gt;"",VLOOKUP(A256,Variables!$A:$C,3,FALSE),"")</f>
        <v/>
      </c>
    </row>
    <row r="257" spans="1:11" customFormat="1" x14ac:dyDescent="0.2">
      <c r="A257" s="11" t="s">
        <v>125</v>
      </c>
      <c r="B257" s="11">
        <v>3</v>
      </c>
      <c r="C257" s="11"/>
      <c r="D257" s="21"/>
      <c r="E257" s="5" t="str">
        <f t="shared" si="11"/>
        <v>q7g1</v>
      </c>
      <c r="F257" s="5">
        <f t="shared" si="10"/>
        <v>0</v>
      </c>
      <c r="G257" s="13"/>
      <c r="H257" s="13"/>
      <c r="I257" s="13"/>
      <c r="J257" s="13"/>
      <c r="K257" s="13" t="str">
        <f>IF(A257&lt;&gt;"",VLOOKUP(A257,Variables!$A:$C,3,FALSE),"")</f>
        <v/>
      </c>
    </row>
    <row r="258" spans="1:11" customFormat="1" x14ac:dyDescent="0.2">
      <c r="A258" s="11" t="s">
        <v>125</v>
      </c>
      <c r="B258" s="11">
        <v>4</v>
      </c>
      <c r="C258" s="11"/>
      <c r="D258" s="21"/>
      <c r="E258" s="5" t="str">
        <f t="shared" si="11"/>
        <v>q7g1</v>
      </c>
      <c r="F258" s="5">
        <f t="shared" si="10"/>
        <v>0</v>
      </c>
      <c r="G258" s="13"/>
      <c r="H258" s="13"/>
      <c r="I258" s="13"/>
      <c r="J258" s="13"/>
      <c r="K258" s="13" t="str">
        <f>IF(A258&lt;&gt;"",VLOOKUP(A258,Variables!$A:$C,3,FALSE),"")</f>
        <v/>
      </c>
    </row>
    <row r="259" spans="1:11" customFormat="1" x14ac:dyDescent="0.2">
      <c r="A259" s="11" t="s">
        <v>125</v>
      </c>
      <c r="B259" s="11">
        <v>5</v>
      </c>
      <c r="C259" s="11"/>
      <c r="D259" s="21"/>
      <c r="E259" s="5" t="str">
        <f t="shared" si="11"/>
        <v>q7g1</v>
      </c>
      <c r="F259" s="5">
        <f t="shared" si="10"/>
        <v>0</v>
      </c>
      <c r="G259" s="13"/>
      <c r="H259" s="13"/>
      <c r="I259" s="13"/>
      <c r="J259" s="13"/>
      <c r="K259" s="13" t="str">
        <f>IF(A259&lt;&gt;"",VLOOKUP(A259,Variables!$A:$C,3,FALSE),"")</f>
        <v/>
      </c>
    </row>
    <row r="260" spans="1:11" customFormat="1" x14ac:dyDescent="0.2">
      <c r="A260" s="11" t="s">
        <v>125</v>
      </c>
      <c r="B260" s="11">
        <v>6</v>
      </c>
      <c r="C260" s="11"/>
      <c r="D260" s="21"/>
      <c r="E260" s="5" t="str">
        <f t="shared" si="11"/>
        <v>q7g1</v>
      </c>
      <c r="F260" s="5">
        <f t="shared" si="10"/>
        <v>0</v>
      </c>
      <c r="G260" s="13"/>
      <c r="H260" s="13"/>
      <c r="I260" s="13"/>
      <c r="J260" s="13"/>
      <c r="K260" s="13" t="str">
        <f>IF(A260&lt;&gt;"",VLOOKUP(A260,Variables!$A:$C,3,FALSE),"")</f>
        <v/>
      </c>
    </row>
    <row r="261" spans="1:11" customFormat="1" x14ac:dyDescent="0.2">
      <c r="A261" s="11" t="s">
        <v>125</v>
      </c>
      <c r="B261" s="11">
        <v>7</v>
      </c>
      <c r="C261" s="11"/>
      <c r="D261" s="21"/>
      <c r="E261" s="5" t="str">
        <f t="shared" si="11"/>
        <v>q7g1</v>
      </c>
      <c r="F261" s="5">
        <f t="shared" si="10"/>
        <v>0</v>
      </c>
      <c r="G261" s="13"/>
      <c r="H261" s="13"/>
      <c r="I261" s="13"/>
      <c r="J261" s="13"/>
      <c r="K261" s="13" t="str">
        <f>IF(A261&lt;&gt;"",VLOOKUP(A261,Variables!$A:$C,3,FALSE),"")</f>
        <v/>
      </c>
    </row>
    <row r="262" spans="1:11" customFormat="1" x14ac:dyDescent="0.2">
      <c r="A262" s="11" t="s">
        <v>125</v>
      </c>
      <c r="B262" s="11">
        <v>8</v>
      </c>
      <c r="C262" s="11"/>
      <c r="D262" s="21"/>
      <c r="E262" s="5" t="str">
        <f t="shared" si="11"/>
        <v>q7g1</v>
      </c>
      <c r="F262" s="5">
        <f t="shared" si="10"/>
        <v>0</v>
      </c>
      <c r="G262" s="13"/>
      <c r="H262" s="13"/>
      <c r="I262" s="13"/>
      <c r="J262" s="13"/>
      <c r="K262" s="13" t="str">
        <f>IF(A262&lt;&gt;"",VLOOKUP(A262,Variables!$A:$C,3,FALSE),"")</f>
        <v/>
      </c>
    </row>
    <row r="263" spans="1:11" customFormat="1" x14ac:dyDescent="0.2">
      <c r="A263" s="11" t="s">
        <v>125</v>
      </c>
      <c r="B263" s="11">
        <v>9</v>
      </c>
      <c r="C263" s="11"/>
      <c r="D263" s="21"/>
      <c r="E263" s="5" t="str">
        <f t="shared" si="11"/>
        <v>q7g1</v>
      </c>
      <c r="F263" s="5">
        <f t="shared" si="10"/>
        <v>0</v>
      </c>
      <c r="G263" s="13"/>
      <c r="H263" s="13"/>
      <c r="I263" s="13"/>
      <c r="J263" s="13"/>
      <c r="K263" s="13" t="str">
        <f>IF(A263&lt;&gt;"",VLOOKUP(A263,Variables!$A:$C,3,FALSE),"")</f>
        <v/>
      </c>
    </row>
    <row r="264" spans="1:11" customFormat="1" x14ac:dyDescent="0.2">
      <c r="A264" s="11" t="s">
        <v>125</v>
      </c>
      <c r="B264" s="11">
        <v>10</v>
      </c>
      <c r="C264" s="11"/>
      <c r="D264" s="21"/>
      <c r="E264" s="5" t="str">
        <f t="shared" si="11"/>
        <v>q7g1</v>
      </c>
      <c r="F264" s="5">
        <f t="shared" si="10"/>
        <v>0</v>
      </c>
      <c r="G264" s="13"/>
      <c r="H264" s="13"/>
      <c r="I264" s="13"/>
      <c r="J264" s="13"/>
      <c r="K264" s="13" t="str">
        <f>IF(A264&lt;&gt;"",VLOOKUP(A264,Variables!$A:$C,3,FALSE),"")</f>
        <v/>
      </c>
    </row>
    <row r="265" spans="1:11" customFormat="1" x14ac:dyDescent="0.2">
      <c r="A265" s="11" t="s">
        <v>125</v>
      </c>
      <c r="B265" s="11">
        <v>99</v>
      </c>
      <c r="C265" s="11"/>
      <c r="D265" s="21"/>
      <c r="E265" s="5" t="str">
        <f t="shared" si="11"/>
        <v>q7g1</v>
      </c>
      <c r="F265" s="5">
        <f t="shared" si="10"/>
        <v>0</v>
      </c>
      <c r="G265" s="13"/>
      <c r="H265" s="13"/>
      <c r="I265" s="13"/>
      <c r="J265" s="13"/>
      <c r="K265" s="13" t="str">
        <f>IF(A265&lt;&gt;"",VLOOKUP(A265,Variables!$A:$C,3,FALSE),"")</f>
        <v/>
      </c>
    </row>
    <row r="266" spans="1:11" customFormat="1" x14ac:dyDescent="0.2">
      <c r="A266" s="11" t="s">
        <v>342</v>
      </c>
      <c r="B266" s="11">
        <v>-2</v>
      </c>
      <c r="C266" s="11"/>
      <c r="D266" s="21"/>
      <c r="E266" s="5" t="str">
        <f t="shared" si="11"/>
        <v>q7g2</v>
      </c>
      <c r="F266" s="5">
        <f t="shared" si="10"/>
        <v>0</v>
      </c>
      <c r="G266" s="13"/>
      <c r="H266" s="13"/>
      <c r="I266" s="13"/>
      <c r="J266" s="13"/>
      <c r="K266" s="13">
        <f>IF(A266&lt;&gt;"",VLOOKUP(A266,Variables!$A:$C,3,FALSE),"")</f>
        <v>0</v>
      </c>
    </row>
    <row r="267" spans="1:11" customFormat="1" x14ac:dyDescent="0.2">
      <c r="A267" s="11" t="s">
        <v>125</v>
      </c>
      <c r="B267" s="11">
        <v>1</v>
      </c>
      <c r="C267" s="11"/>
      <c r="D267" s="21"/>
      <c r="E267" s="5" t="str">
        <f t="shared" si="11"/>
        <v>q7g2</v>
      </c>
      <c r="F267" s="5">
        <f t="shared" si="10"/>
        <v>0</v>
      </c>
      <c r="G267" s="13"/>
      <c r="H267" s="13"/>
      <c r="I267" s="13"/>
      <c r="J267" s="13"/>
      <c r="K267" s="13" t="str">
        <f>IF(A267&lt;&gt;"",VLOOKUP(A267,Variables!$A:$C,3,FALSE),"")</f>
        <v/>
      </c>
    </row>
    <row r="268" spans="1:11" customFormat="1" ht="12.75" customHeight="1" x14ac:dyDescent="0.2">
      <c r="A268" s="11" t="s">
        <v>125</v>
      </c>
      <c r="B268" s="11">
        <v>2</v>
      </c>
      <c r="C268" s="11"/>
      <c r="D268" s="21"/>
      <c r="E268" s="5" t="str">
        <f t="shared" si="11"/>
        <v>q7g2</v>
      </c>
      <c r="F268" s="5">
        <f t="shared" si="10"/>
        <v>0</v>
      </c>
      <c r="G268" s="13"/>
      <c r="H268" s="13"/>
      <c r="I268" s="13"/>
      <c r="J268" s="13"/>
      <c r="K268" s="13" t="str">
        <f>IF(A268&lt;&gt;"",VLOOKUP(A268,Variables!$A:$C,3,FALSE),"")</f>
        <v/>
      </c>
    </row>
    <row r="269" spans="1:11" customFormat="1" x14ac:dyDescent="0.2">
      <c r="A269" s="11" t="s">
        <v>125</v>
      </c>
      <c r="B269" s="11">
        <v>3</v>
      </c>
      <c r="C269" s="11"/>
      <c r="D269" s="21"/>
      <c r="E269" s="5" t="str">
        <f t="shared" si="11"/>
        <v>q7g2</v>
      </c>
      <c r="F269" s="5">
        <f t="shared" si="10"/>
        <v>0</v>
      </c>
      <c r="G269" s="13"/>
      <c r="H269" s="13"/>
      <c r="I269" s="13"/>
      <c r="J269" s="13"/>
      <c r="K269" s="13" t="str">
        <f>IF(A269&lt;&gt;"",VLOOKUP(A269,Variables!$A:$C,3,FALSE),"")</f>
        <v/>
      </c>
    </row>
    <row r="270" spans="1:11" customFormat="1" x14ac:dyDescent="0.2">
      <c r="A270" s="11" t="s">
        <v>125</v>
      </c>
      <c r="B270" s="11">
        <v>4</v>
      </c>
      <c r="C270" s="11"/>
      <c r="D270" s="21"/>
      <c r="E270" s="5" t="str">
        <f t="shared" si="11"/>
        <v>q7g2</v>
      </c>
      <c r="F270" s="5">
        <f t="shared" si="10"/>
        <v>0</v>
      </c>
      <c r="G270" s="13"/>
      <c r="H270" s="13"/>
      <c r="I270" s="13"/>
      <c r="J270" s="13"/>
      <c r="K270" s="13" t="str">
        <f>IF(A270&lt;&gt;"",VLOOKUP(A270,Variables!$A:$C,3,FALSE),"")</f>
        <v/>
      </c>
    </row>
    <row r="271" spans="1:11" customFormat="1" x14ac:dyDescent="0.2">
      <c r="A271" s="11" t="s">
        <v>125</v>
      </c>
      <c r="B271" s="11">
        <v>5</v>
      </c>
      <c r="C271" s="11"/>
      <c r="D271" s="21"/>
      <c r="E271" s="5" t="str">
        <f t="shared" si="11"/>
        <v>q7g2</v>
      </c>
      <c r="F271" s="5">
        <f t="shared" si="10"/>
        <v>0</v>
      </c>
      <c r="G271" s="13"/>
      <c r="H271" s="13"/>
      <c r="I271" s="13"/>
      <c r="J271" s="13"/>
      <c r="K271" s="13" t="str">
        <f>IF(A271&lt;&gt;"",VLOOKUP(A271,Variables!$A:$C,3,FALSE),"")</f>
        <v/>
      </c>
    </row>
    <row r="272" spans="1:11" customFormat="1" ht="12.75" customHeight="1" x14ac:dyDescent="0.2">
      <c r="A272" s="11" t="s">
        <v>125</v>
      </c>
      <c r="B272" s="11">
        <v>6</v>
      </c>
      <c r="C272" s="11"/>
      <c r="D272" s="21"/>
      <c r="E272" s="5" t="str">
        <f t="shared" si="11"/>
        <v>q7g2</v>
      </c>
      <c r="F272" s="5">
        <f t="shared" si="10"/>
        <v>0</v>
      </c>
      <c r="G272" s="13"/>
      <c r="H272" s="13"/>
      <c r="I272" s="13"/>
      <c r="J272" s="13"/>
      <c r="K272" s="13" t="str">
        <f>IF(A272&lt;&gt;"",VLOOKUP(A272,Variables!$A:$C,3,FALSE),"")</f>
        <v/>
      </c>
    </row>
    <row r="273" spans="1:11" customFormat="1" x14ac:dyDescent="0.2">
      <c r="A273" s="11" t="s">
        <v>125</v>
      </c>
      <c r="B273" s="11">
        <v>7</v>
      </c>
      <c r="C273" s="11"/>
      <c r="D273" s="21"/>
      <c r="E273" s="5" t="str">
        <f t="shared" si="11"/>
        <v>q7g2</v>
      </c>
      <c r="F273" s="5">
        <f t="shared" si="10"/>
        <v>0</v>
      </c>
      <c r="G273" s="13"/>
      <c r="H273" s="13"/>
      <c r="I273" s="13"/>
      <c r="J273" s="13"/>
      <c r="K273" s="13" t="str">
        <f>IF(A273&lt;&gt;"",VLOOKUP(A273,Variables!$A:$C,3,FALSE),"")</f>
        <v/>
      </c>
    </row>
    <row r="274" spans="1:11" customFormat="1" x14ac:dyDescent="0.2">
      <c r="A274" s="11" t="s">
        <v>125</v>
      </c>
      <c r="B274" s="11">
        <v>8</v>
      </c>
      <c r="C274" s="11"/>
      <c r="D274" s="21"/>
      <c r="E274" s="5" t="str">
        <f t="shared" si="11"/>
        <v>q7g2</v>
      </c>
      <c r="F274" s="5">
        <f t="shared" si="10"/>
        <v>0</v>
      </c>
      <c r="G274" s="13"/>
      <c r="H274" s="13"/>
      <c r="I274" s="13"/>
      <c r="J274" s="13"/>
      <c r="K274" s="13" t="str">
        <f>IF(A274&lt;&gt;"",VLOOKUP(A274,Variables!$A:$C,3,FALSE),"")</f>
        <v/>
      </c>
    </row>
    <row r="275" spans="1:11" customFormat="1" x14ac:dyDescent="0.2">
      <c r="A275" s="11" t="s">
        <v>125</v>
      </c>
      <c r="B275" s="11">
        <v>9</v>
      </c>
      <c r="C275" s="11"/>
      <c r="D275" s="21"/>
      <c r="E275" s="5" t="str">
        <f t="shared" si="11"/>
        <v>q7g2</v>
      </c>
      <c r="F275" s="5">
        <f t="shared" si="10"/>
        <v>0</v>
      </c>
      <c r="G275" s="13"/>
      <c r="H275" s="13"/>
      <c r="I275" s="13"/>
      <c r="J275" s="13"/>
      <c r="K275" s="13" t="str">
        <f>IF(A275&lt;&gt;"",VLOOKUP(A275,Variables!$A:$C,3,FALSE),"")</f>
        <v/>
      </c>
    </row>
    <row r="276" spans="1:11" customFormat="1" ht="12.75" customHeight="1" x14ac:dyDescent="0.2">
      <c r="A276" s="11" t="s">
        <v>125</v>
      </c>
      <c r="B276" s="11">
        <v>10</v>
      </c>
      <c r="C276" s="11"/>
      <c r="D276" s="21"/>
      <c r="E276" s="5" t="str">
        <f t="shared" si="11"/>
        <v>q7g2</v>
      </c>
      <c r="F276" s="5">
        <f t="shared" si="10"/>
        <v>0</v>
      </c>
      <c r="G276" s="13"/>
      <c r="H276" s="13"/>
      <c r="I276" s="13"/>
      <c r="J276" s="13"/>
      <c r="K276" s="13" t="str">
        <f>IF(A276&lt;&gt;"",VLOOKUP(A276,Variables!$A:$C,3,FALSE),"")</f>
        <v/>
      </c>
    </row>
    <row r="277" spans="1:11" customFormat="1" x14ac:dyDescent="0.2">
      <c r="A277" s="11" t="s">
        <v>125</v>
      </c>
      <c r="B277" s="11">
        <v>99</v>
      </c>
      <c r="C277" s="11"/>
      <c r="D277" s="21"/>
      <c r="E277" s="5" t="str">
        <f t="shared" si="11"/>
        <v>q7g2</v>
      </c>
      <c r="F277" s="5">
        <f t="shared" si="10"/>
        <v>0</v>
      </c>
      <c r="G277" s="13"/>
      <c r="H277" s="13"/>
      <c r="I277" s="13"/>
      <c r="J277" s="13"/>
      <c r="K277" s="13" t="str">
        <f>IF(A277&lt;&gt;"",VLOOKUP(A277,Variables!$A:$C,3,FALSE),"")</f>
        <v/>
      </c>
    </row>
    <row r="278" spans="1:11" customFormat="1" x14ac:dyDescent="0.2">
      <c r="A278" s="11" t="s">
        <v>343</v>
      </c>
      <c r="B278" s="11">
        <v>-2</v>
      </c>
      <c r="C278" s="11"/>
      <c r="D278" s="21"/>
      <c r="E278" s="5" t="str">
        <f t="shared" si="11"/>
        <v>q7h1</v>
      </c>
      <c r="F278" s="5">
        <f t="shared" si="10"/>
        <v>0</v>
      </c>
      <c r="G278" s="13"/>
      <c r="H278" s="13"/>
      <c r="I278" s="13"/>
      <c r="J278" s="13"/>
      <c r="K278" s="13">
        <f>IF(A278&lt;&gt;"",VLOOKUP(A278,Variables!$A:$C,3,FALSE),"")</f>
        <v>0</v>
      </c>
    </row>
    <row r="279" spans="1:11" customFormat="1" x14ac:dyDescent="0.2">
      <c r="A279" s="11" t="s">
        <v>125</v>
      </c>
      <c r="B279" s="11">
        <v>1</v>
      </c>
      <c r="C279" s="11"/>
      <c r="D279" s="21"/>
      <c r="E279" s="5" t="str">
        <f t="shared" si="11"/>
        <v>q7h1</v>
      </c>
      <c r="F279" s="5">
        <f t="shared" si="10"/>
        <v>0</v>
      </c>
      <c r="G279" s="13"/>
      <c r="H279" s="13"/>
      <c r="I279" s="13"/>
      <c r="J279" s="13"/>
      <c r="K279" s="13" t="str">
        <f>IF(A279&lt;&gt;"",VLOOKUP(A279,Variables!$A:$C,3,FALSE),"")</f>
        <v/>
      </c>
    </row>
    <row r="280" spans="1:11" customFormat="1" x14ac:dyDescent="0.2">
      <c r="A280" s="11" t="s">
        <v>125</v>
      </c>
      <c r="B280" s="11">
        <v>2</v>
      </c>
      <c r="C280" s="11"/>
      <c r="D280" s="21"/>
      <c r="E280" s="5" t="str">
        <f t="shared" si="11"/>
        <v>q7h1</v>
      </c>
      <c r="F280" s="5">
        <f t="shared" si="10"/>
        <v>0</v>
      </c>
      <c r="G280" s="13"/>
      <c r="H280" s="13"/>
      <c r="I280" s="13"/>
      <c r="J280" s="13"/>
      <c r="K280" s="13" t="str">
        <f>IF(A280&lt;&gt;"",VLOOKUP(A280,Variables!$A:$C,3,FALSE),"")</f>
        <v/>
      </c>
    </row>
    <row r="281" spans="1:11" customFormat="1" x14ac:dyDescent="0.2">
      <c r="A281" s="11" t="s">
        <v>125</v>
      </c>
      <c r="B281" s="11">
        <v>3</v>
      </c>
      <c r="C281" s="11"/>
      <c r="D281" s="21"/>
      <c r="E281" s="5" t="str">
        <f t="shared" si="11"/>
        <v>q7h1</v>
      </c>
      <c r="F281" s="5">
        <f t="shared" si="10"/>
        <v>0</v>
      </c>
      <c r="G281" s="13"/>
      <c r="H281" s="13"/>
      <c r="I281" s="13"/>
      <c r="J281" s="13"/>
      <c r="K281" s="13" t="str">
        <f>IF(A281&lt;&gt;"",VLOOKUP(A281,Variables!$A:$C,3,FALSE),"")</f>
        <v/>
      </c>
    </row>
    <row r="282" spans="1:11" customFormat="1" x14ac:dyDescent="0.2">
      <c r="A282" s="11" t="s">
        <v>125</v>
      </c>
      <c r="B282" s="11">
        <v>4</v>
      </c>
      <c r="C282" s="11"/>
      <c r="D282" s="21"/>
      <c r="E282" s="5" t="str">
        <f t="shared" si="11"/>
        <v>q7h1</v>
      </c>
      <c r="F282" s="5">
        <f t="shared" si="10"/>
        <v>0</v>
      </c>
      <c r="G282" s="13"/>
      <c r="H282" s="13"/>
      <c r="I282" s="13"/>
      <c r="J282" s="13"/>
      <c r="K282" s="13" t="str">
        <f>IF(A282&lt;&gt;"",VLOOKUP(A282,Variables!$A:$C,3,FALSE),"")</f>
        <v/>
      </c>
    </row>
    <row r="283" spans="1:11" customFormat="1" x14ac:dyDescent="0.2">
      <c r="A283" s="11" t="s">
        <v>125</v>
      </c>
      <c r="B283" s="11">
        <v>5</v>
      </c>
      <c r="C283" s="11"/>
      <c r="D283" s="21"/>
      <c r="E283" s="5" t="str">
        <f t="shared" si="11"/>
        <v>q7h1</v>
      </c>
      <c r="F283" s="5">
        <f t="shared" si="10"/>
        <v>0</v>
      </c>
      <c r="G283" s="13"/>
      <c r="H283" s="13"/>
      <c r="I283" s="13"/>
      <c r="J283" s="13"/>
      <c r="K283" s="13" t="str">
        <f>IF(A283&lt;&gt;"",VLOOKUP(A283,Variables!$A:$C,3,FALSE),"")</f>
        <v/>
      </c>
    </row>
    <row r="284" spans="1:11" customFormat="1" x14ac:dyDescent="0.2">
      <c r="A284" s="11" t="s">
        <v>125</v>
      </c>
      <c r="B284" s="11">
        <v>6</v>
      </c>
      <c r="C284" s="11"/>
      <c r="D284" s="21"/>
      <c r="E284" s="5" t="str">
        <f t="shared" si="11"/>
        <v>q7h1</v>
      </c>
      <c r="F284" s="5">
        <f t="shared" ref="F284:F347" si="12">LEN(C284)</f>
        <v>0</v>
      </c>
      <c r="G284" s="13"/>
      <c r="H284" s="13"/>
      <c r="I284" s="13"/>
      <c r="J284" s="13"/>
      <c r="K284" s="13" t="str">
        <f>IF(A284&lt;&gt;"",VLOOKUP(A284,Variables!$A:$C,3,FALSE),"")</f>
        <v/>
      </c>
    </row>
    <row r="285" spans="1:11" customFormat="1" x14ac:dyDescent="0.2">
      <c r="A285" s="11" t="s">
        <v>125</v>
      </c>
      <c r="B285" s="11">
        <v>7</v>
      </c>
      <c r="C285" s="11"/>
      <c r="D285" s="21"/>
      <c r="E285" s="5" t="str">
        <f t="shared" si="11"/>
        <v>q7h1</v>
      </c>
      <c r="F285" s="5">
        <f t="shared" si="12"/>
        <v>0</v>
      </c>
      <c r="G285" s="13"/>
      <c r="H285" s="13"/>
      <c r="I285" s="13"/>
      <c r="J285" s="13"/>
      <c r="K285" s="13" t="str">
        <f>IF(A285&lt;&gt;"",VLOOKUP(A285,Variables!$A:$C,3,FALSE),"")</f>
        <v/>
      </c>
    </row>
    <row r="286" spans="1:11" customFormat="1" x14ac:dyDescent="0.2">
      <c r="A286" s="11" t="s">
        <v>125</v>
      </c>
      <c r="B286" s="11">
        <v>8</v>
      </c>
      <c r="C286" s="11"/>
      <c r="D286" s="21"/>
      <c r="E286" s="5" t="str">
        <f t="shared" si="11"/>
        <v>q7h1</v>
      </c>
      <c r="F286" s="5">
        <f t="shared" si="12"/>
        <v>0</v>
      </c>
      <c r="G286" s="13"/>
      <c r="H286" s="13"/>
      <c r="I286" s="13"/>
      <c r="J286" s="13"/>
      <c r="K286" s="13" t="str">
        <f>IF(A286&lt;&gt;"",VLOOKUP(A286,Variables!$A:$C,3,FALSE),"")</f>
        <v/>
      </c>
    </row>
    <row r="287" spans="1:11" customFormat="1" x14ac:dyDescent="0.2">
      <c r="A287" s="11" t="s">
        <v>125</v>
      </c>
      <c r="B287" s="11">
        <v>9</v>
      </c>
      <c r="C287" s="11"/>
      <c r="D287" s="21"/>
      <c r="E287" s="5" t="str">
        <f t="shared" si="11"/>
        <v>q7h1</v>
      </c>
      <c r="F287" s="5">
        <f t="shared" si="12"/>
        <v>0</v>
      </c>
      <c r="G287" s="13"/>
      <c r="H287" s="13"/>
      <c r="I287" s="13"/>
      <c r="J287" s="13"/>
      <c r="K287" s="13" t="str">
        <f>IF(A287&lt;&gt;"",VLOOKUP(A287,Variables!$A:$C,3,FALSE),"")</f>
        <v/>
      </c>
    </row>
    <row r="288" spans="1:11" customFormat="1" x14ac:dyDescent="0.2">
      <c r="A288" s="11" t="s">
        <v>125</v>
      </c>
      <c r="B288" s="11">
        <v>10</v>
      </c>
      <c r="C288" s="11"/>
      <c r="D288" s="21"/>
      <c r="E288" s="5" t="str">
        <f t="shared" si="11"/>
        <v>q7h1</v>
      </c>
      <c r="F288" s="5">
        <f t="shared" si="12"/>
        <v>0</v>
      </c>
      <c r="G288" s="13"/>
      <c r="H288" s="13"/>
      <c r="I288" s="13"/>
      <c r="J288" s="13"/>
      <c r="K288" s="13" t="str">
        <f>IF(A288&lt;&gt;"",VLOOKUP(A288,Variables!$A:$C,3,FALSE),"")</f>
        <v/>
      </c>
    </row>
    <row r="289" spans="1:11" customFormat="1" x14ac:dyDescent="0.2">
      <c r="A289" s="11" t="s">
        <v>125</v>
      </c>
      <c r="B289" s="11">
        <v>99</v>
      </c>
      <c r="C289" s="11"/>
      <c r="D289" s="21"/>
      <c r="E289" s="5" t="str">
        <f t="shared" si="11"/>
        <v>q7h1</v>
      </c>
      <c r="F289" s="5">
        <f t="shared" si="12"/>
        <v>0</v>
      </c>
      <c r="G289" s="13"/>
      <c r="H289" s="13"/>
      <c r="I289" s="13"/>
      <c r="J289" s="13"/>
      <c r="K289" s="13" t="str">
        <f>IF(A289&lt;&gt;"",VLOOKUP(A289,Variables!$A:$C,3,FALSE),"")</f>
        <v/>
      </c>
    </row>
    <row r="290" spans="1:11" customFormat="1" x14ac:dyDescent="0.2">
      <c r="A290" s="11" t="s">
        <v>344</v>
      </c>
      <c r="B290" s="11">
        <v>-2</v>
      </c>
      <c r="C290" s="11"/>
      <c r="D290" s="21"/>
      <c r="E290" s="5" t="str">
        <f t="shared" si="11"/>
        <v>q7h2</v>
      </c>
      <c r="F290" s="5">
        <f t="shared" si="12"/>
        <v>0</v>
      </c>
      <c r="G290" s="13"/>
      <c r="H290" s="13"/>
      <c r="I290" s="13"/>
      <c r="J290" s="13"/>
      <c r="K290" s="13">
        <f>IF(A290&lt;&gt;"",VLOOKUP(A290,Variables!$A:$C,3,FALSE),"")</f>
        <v>0</v>
      </c>
    </row>
    <row r="291" spans="1:11" customFormat="1" x14ac:dyDescent="0.2">
      <c r="A291" s="11" t="s">
        <v>125</v>
      </c>
      <c r="B291" s="11">
        <v>1</v>
      </c>
      <c r="C291" s="11"/>
      <c r="D291" s="21"/>
      <c r="E291" s="5" t="str">
        <f t="shared" si="11"/>
        <v>q7h2</v>
      </c>
      <c r="F291" s="5">
        <f t="shared" si="12"/>
        <v>0</v>
      </c>
      <c r="G291" s="13"/>
      <c r="H291" s="13"/>
      <c r="I291" s="13"/>
      <c r="J291" s="13"/>
      <c r="K291" s="13" t="str">
        <f>IF(A291&lt;&gt;"",VLOOKUP(A291,Variables!$A:$C,3,FALSE),"")</f>
        <v/>
      </c>
    </row>
    <row r="292" spans="1:11" customFormat="1" x14ac:dyDescent="0.2">
      <c r="A292" s="11" t="s">
        <v>125</v>
      </c>
      <c r="B292" s="11">
        <v>2</v>
      </c>
      <c r="C292" s="11"/>
      <c r="D292" s="21"/>
      <c r="E292" s="5" t="str">
        <f t="shared" si="11"/>
        <v>q7h2</v>
      </c>
      <c r="F292" s="5">
        <f t="shared" si="12"/>
        <v>0</v>
      </c>
      <c r="G292" s="13"/>
      <c r="H292" s="13"/>
      <c r="I292" s="13"/>
      <c r="J292" s="13"/>
      <c r="K292" s="13" t="str">
        <f>IF(A292&lt;&gt;"",VLOOKUP(A292,Variables!$A:$C,3,FALSE),"")</f>
        <v/>
      </c>
    </row>
    <row r="293" spans="1:11" customFormat="1" x14ac:dyDescent="0.2">
      <c r="A293" s="11" t="s">
        <v>125</v>
      </c>
      <c r="B293" s="11">
        <v>3</v>
      </c>
      <c r="C293" s="11"/>
      <c r="D293" s="21"/>
      <c r="E293" s="5" t="str">
        <f t="shared" si="11"/>
        <v>q7h2</v>
      </c>
      <c r="F293" s="5">
        <f t="shared" si="12"/>
        <v>0</v>
      </c>
      <c r="G293" s="13"/>
      <c r="H293" s="13"/>
      <c r="I293" s="13"/>
      <c r="J293" s="13"/>
      <c r="K293" s="13" t="str">
        <f>IF(A293&lt;&gt;"",VLOOKUP(A293,Variables!$A:$C,3,FALSE),"")</f>
        <v/>
      </c>
    </row>
    <row r="294" spans="1:11" customFormat="1" x14ac:dyDescent="0.2">
      <c r="A294" s="11" t="s">
        <v>125</v>
      </c>
      <c r="B294" s="11">
        <v>4</v>
      </c>
      <c r="C294" s="11"/>
      <c r="D294" s="21"/>
      <c r="E294" s="5" t="str">
        <f t="shared" si="11"/>
        <v>q7h2</v>
      </c>
      <c r="F294" s="5">
        <f t="shared" si="12"/>
        <v>0</v>
      </c>
      <c r="G294" s="13"/>
      <c r="H294" s="13"/>
      <c r="I294" s="13"/>
      <c r="J294" s="13"/>
      <c r="K294" s="13" t="str">
        <f>IF(A294&lt;&gt;"",VLOOKUP(A294,Variables!$A:$C,3,FALSE),"")</f>
        <v/>
      </c>
    </row>
    <row r="295" spans="1:11" customFormat="1" x14ac:dyDescent="0.2">
      <c r="A295" s="11" t="s">
        <v>125</v>
      </c>
      <c r="B295" s="11">
        <v>5</v>
      </c>
      <c r="C295" s="11"/>
      <c r="D295" s="21"/>
      <c r="E295" s="5" t="str">
        <f t="shared" si="11"/>
        <v>q7h2</v>
      </c>
      <c r="F295" s="5">
        <f t="shared" si="12"/>
        <v>0</v>
      </c>
      <c r="G295" s="13"/>
      <c r="H295" s="13"/>
      <c r="I295" s="13"/>
      <c r="J295" s="13"/>
      <c r="K295" s="13" t="str">
        <f>IF(A295&lt;&gt;"",VLOOKUP(A295,Variables!$A:$C,3,FALSE),"")</f>
        <v/>
      </c>
    </row>
    <row r="296" spans="1:11" customFormat="1" x14ac:dyDescent="0.2">
      <c r="A296" s="11" t="s">
        <v>125</v>
      </c>
      <c r="B296" s="11">
        <v>6</v>
      </c>
      <c r="C296" s="11"/>
      <c r="D296" s="21"/>
      <c r="E296" s="5" t="str">
        <f t="shared" si="11"/>
        <v>q7h2</v>
      </c>
      <c r="F296" s="5">
        <f t="shared" si="12"/>
        <v>0</v>
      </c>
      <c r="G296" s="13"/>
      <c r="H296" s="13"/>
      <c r="I296" s="13"/>
      <c r="J296" s="13"/>
      <c r="K296" s="13" t="str">
        <f>IF(A296&lt;&gt;"",VLOOKUP(A296,Variables!$A:$C,3,FALSE),"")</f>
        <v/>
      </c>
    </row>
    <row r="297" spans="1:11" customFormat="1" x14ac:dyDescent="0.2">
      <c r="A297" s="11" t="s">
        <v>125</v>
      </c>
      <c r="B297" s="11">
        <v>7</v>
      </c>
      <c r="C297" s="11"/>
      <c r="D297" s="21"/>
      <c r="E297" s="5" t="str">
        <f t="shared" si="11"/>
        <v>q7h2</v>
      </c>
      <c r="F297" s="5">
        <f t="shared" si="12"/>
        <v>0</v>
      </c>
      <c r="G297" s="13"/>
      <c r="H297" s="13"/>
      <c r="I297" s="13"/>
      <c r="J297" s="13"/>
      <c r="K297" s="13" t="str">
        <f>IF(A297&lt;&gt;"",VLOOKUP(A297,Variables!$A:$C,3,FALSE),"")</f>
        <v/>
      </c>
    </row>
    <row r="298" spans="1:11" customFormat="1" x14ac:dyDescent="0.2">
      <c r="A298" s="11" t="s">
        <v>125</v>
      </c>
      <c r="B298" s="11">
        <v>8</v>
      </c>
      <c r="C298" s="11"/>
      <c r="D298" s="21"/>
      <c r="E298" s="5" t="str">
        <f t="shared" si="11"/>
        <v>q7h2</v>
      </c>
      <c r="F298" s="5">
        <f t="shared" si="12"/>
        <v>0</v>
      </c>
      <c r="G298" s="13"/>
      <c r="H298" s="13"/>
      <c r="I298" s="13"/>
      <c r="J298" s="13"/>
      <c r="K298" s="13" t="str">
        <f>IF(A298&lt;&gt;"",VLOOKUP(A298,Variables!$A:$C,3,FALSE),"")</f>
        <v/>
      </c>
    </row>
    <row r="299" spans="1:11" customFormat="1" x14ac:dyDescent="0.2">
      <c r="A299" s="11" t="s">
        <v>125</v>
      </c>
      <c r="B299" s="11">
        <v>9</v>
      </c>
      <c r="C299" s="11"/>
      <c r="D299" s="21"/>
      <c r="E299" s="5" t="str">
        <f t="shared" si="11"/>
        <v>q7h2</v>
      </c>
      <c r="F299" s="5">
        <f t="shared" si="12"/>
        <v>0</v>
      </c>
      <c r="G299" s="13"/>
      <c r="H299" s="13"/>
      <c r="I299" s="13"/>
      <c r="J299" s="13"/>
      <c r="K299" s="13" t="str">
        <f>IF(A299&lt;&gt;"",VLOOKUP(A299,Variables!$A:$C,3,FALSE),"")</f>
        <v/>
      </c>
    </row>
    <row r="300" spans="1:11" customFormat="1" x14ac:dyDescent="0.2">
      <c r="A300" s="11" t="s">
        <v>125</v>
      </c>
      <c r="B300" s="11">
        <v>10</v>
      </c>
      <c r="C300" s="11"/>
      <c r="D300" s="21"/>
      <c r="E300" s="5" t="str">
        <f t="shared" si="11"/>
        <v>q7h2</v>
      </c>
      <c r="F300" s="5">
        <f t="shared" si="12"/>
        <v>0</v>
      </c>
      <c r="G300" s="13"/>
      <c r="H300" s="13"/>
      <c r="I300" s="13"/>
      <c r="J300" s="13"/>
      <c r="K300" s="13" t="str">
        <f>IF(A300&lt;&gt;"",VLOOKUP(A300,Variables!$A:$C,3,FALSE),"")</f>
        <v/>
      </c>
    </row>
    <row r="301" spans="1:11" customFormat="1" x14ac:dyDescent="0.2">
      <c r="A301" s="11" t="s">
        <v>125</v>
      </c>
      <c r="B301" s="11">
        <v>99</v>
      </c>
      <c r="C301" s="11"/>
      <c r="D301" s="21"/>
      <c r="E301" s="5" t="str">
        <f t="shared" si="11"/>
        <v>q7h2</v>
      </c>
      <c r="F301" s="5">
        <f t="shared" si="12"/>
        <v>0</v>
      </c>
      <c r="G301" s="13"/>
      <c r="H301" s="13"/>
      <c r="I301" s="13"/>
      <c r="J301" s="13"/>
      <c r="K301" s="13" t="str">
        <f>IF(A301&lt;&gt;"",VLOOKUP(A301,Variables!$A:$C,3,FALSE),"")</f>
        <v/>
      </c>
    </row>
    <row r="302" spans="1:11" customFormat="1" x14ac:dyDescent="0.2">
      <c r="A302" s="11" t="s">
        <v>155</v>
      </c>
      <c r="B302" s="11">
        <v>-2</v>
      </c>
      <c r="C302" s="11"/>
      <c r="D302" s="21"/>
      <c r="E302" s="5" t="str">
        <f t="shared" si="11"/>
        <v>q81</v>
      </c>
      <c r="F302" s="5">
        <f t="shared" si="12"/>
        <v>0</v>
      </c>
      <c r="G302" s="13"/>
      <c r="H302" s="13"/>
      <c r="I302" s="13"/>
      <c r="J302" s="13"/>
      <c r="K302" s="13">
        <f>IF(A302&lt;&gt;"",VLOOKUP(A302,Variables!$A:$C,3,FALSE),"")</f>
        <v>0</v>
      </c>
    </row>
    <row r="303" spans="1:11" customFormat="1" x14ac:dyDescent="0.2">
      <c r="A303" s="11" t="s">
        <v>125</v>
      </c>
      <c r="B303" s="11">
        <v>1</v>
      </c>
      <c r="C303" s="11"/>
      <c r="D303" s="21"/>
      <c r="E303" s="5" t="str">
        <f t="shared" ref="E303:E354" si="13">IF(A303&lt;&gt;"",IF(V_LabelvorVariablen=TRUE,A303,IF(VLOOKUP(A303,V_VariablenEigenschaften,12,FALSE)="",A303,VLOOKUP(A303,V_VariablenEigenschaften,12,FALSE))),E302)</f>
        <v>q81</v>
      </c>
      <c r="F303" s="5">
        <f t="shared" si="12"/>
        <v>0</v>
      </c>
      <c r="G303" s="13"/>
      <c r="H303" s="13"/>
      <c r="I303" s="13"/>
      <c r="J303" s="13"/>
      <c r="K303" s="13" t="str">
        <f>IF(A303&lt;&gt;"",VLOOKUP(A303,Variables!$A:$C,3,FALSE),"")</f>
        <v/>
      </c>
    </row>
    <row r="304" spans="1:11" customFormat="1" x14ac:dyDescent="0.2">
      <c r="A304" s="11" t="s">
        <v>125</v>
      </c>
      <c r="B304" s="11">
        <v>2</v>
      </c>
      <c r="C304" s="11"/>
      <c r="D304" s="21"/>
      <c r="E304" s="5" t="str">
        <f t="shared" si="13"/>
        <v>q81</v>
      </c>
      <c r="F304" s="5">
        <f t="shared" si="12"/>
        <v>0</v>
      </c>
      <c r="G304" s="13"/>
      <c r="H304" s="13"/>
      <c r="I304" s="13"/>
      <c r="J304" s="13"/>
      <c r="K304" s="13" t="str">
        <f>IF(A304&lt;&gt;"",VLOOKUP(A304,Variables!$A:$C,3,FALSE),"")</f>
        <v/>
      </c>
    </row>
    <row r="305" spans="1:11" customFormat="1" x14ac:dyDescent="0.2">
      <c r="A305" s="11" t="s">
        <v>125</v>
      </c>
      <c r="B305" s="11">
        <v>3</v>
      </c>
      <c r="C305" s="11"/>
      <c r="D305" s="21"/>
      <c r="E305" s="5" t="str">
        <f t="shared" si="13"/>
        <v>q81</v>
      </c>
      <c r="F305" s="5">
        <f t="shared" si="12"/>
        <v>0</v>
      </c>
      <c r="G305" s="13"/>
      <c r="H305" s="13"/>
      <c r="I305" s="13"/>
      <c r="J305" s="13"/>
      <c r="K305" s="13" t="str">
        <f>IF(A305&lt;&gt;"",VLOOKUP(A305,Variables!$A:$C,3,FALSE),"")</f>
        <v/>
      </c>
    </row>
    <row r="306" spans="1:11" customFormat="1" x14ac:dyDescent="0.2">
      <c r="A306" s="11" t="s">
        <v>125</v>
      </c>
      <c r="B306" s="11">
        <v>4</v>
      </c>
      <c r="C306" s="11"/>
      <c r="D306" s="21"/>
      <c r="E306" s="5" t="str">
        <f t="shared" si="13"/>
        <v>q81</v>
      </c>
      <c r="F306" s="5">
        <f t="shared" si="12"/>
        <v>0</v>
      </c>
      <c r="G306" s="13"/>
      <c r="H306" s="13"/>
      <c r="I306" s="13"/>
      <c r="J306" s="13"/>
      <c r="K306" s="13" t="str">
        <f>IF(A306&lt;&gt;"",VLOOKUP(A306,Variables!$A:$C,3,FALSE),"")</f>
        <v/>
      </c>
    </row>
    <row r="307" spans="1:11" customFormat="1" x14ac:dyDescent="0.2">
      <c r="A307" s="11" t="s">
        <v>125</v>
      </c>
      <c r="B307" s="11">
        <v>5</v>
      </c>
      <c r="C307" s="11"/>
      <c r="D307" s="21"/>
      <c r="E307" s="5" t="str">
        <f t="shared" si="13"/>
        <v>q81</v>
      </c>
      <c r="F307" s="5">
        <f t="shared" si="12"/>
        <v>0</v>
      </c>
      <c r="G307" s="13"/>
      <c r="H307" s="13"/>
      <c r="I307" s="13"/>
      <c r="J307" s="13"/>
      <c r="K307" s="13" t="str">
        <f>IF(A307&lt;&gt;"",VLOOKUP(A307,Variables!$A:$C,3,FALSE),"")</f>
        <v/>
      </c>
    </row>
    <row r="308" spans="1:11" customFormat="1" x14ac:dyDescent="0.2">
      <c r="A308" s="11" t="s">
        <v>125</v>
      </c>
      <c r="B308" s="11">
        <v>6</v>
      </c>
      <c r="C308" s="11"/>
      <c r="D308" s="21"/>
      <c r="E308" s="5" t="str">
        <f t="shared" si="13"/>
        <v>q81</v>
      </c>
      <c r="F308" s="5">
        <f t="shared" si="12"/>
        <v>0</v>
      </c>
      <c r="G308" s="13"/>
      <c r="H308" s="13"/>
      <c r="I308" s="13"/>
      <c r="J308" s="13"/>
      <c r="K308" s="13" t="str">
        <f>IF(A308&lt;&gt;"",VLOOKUP(A308,Variables!$A:$C,3,FALSE),"")</f>
        <v/>
      </c>
    </row>
    <row r="309" spans="1:11" customFormat="1" x14ac:dyDescent="0.2">
      <c r="A309" s="11" t="s">
        <v>125</v>
      </c>
      <c r="B309" s="11">
        <v>7</v>
      </c>
      <c r="C309" s="11"/>
      <c r="D309" s="21"/>
      <c r="E309" s="5" t="str">
        <f t="shared" si="13"/>
        <v>q81</v>
      </c>
      <c r="F309" s="5">
        <f t="shared" si="12"/>
        <v>0</v>
      </c>
      <c r="G309" s="13"/>
      <c r="H309" s="13"/>
      <c r="I309" s="13"/>
      <c r="J309" s="13"/>
      <c r="K309" s="13" t="str">
        <f>IF(A309&lt;&gt;"",VLOOKUP(A309,Variables!$A:$C,3,FALSE),"")</f>
        <v/>
      </c>
    </row>
    <row r="310" spans="1:11" customFormat="1" x14ac:dyDescent="0.2">
      <c r="A310" s="11" t="s">
        <v>125</v>
      </c>
      <c r="B310" s="11">
        <v>8</v>
      </c>
      <c r="C310" s="11"/>
      <c r="D310" s="21"/>
      <c r="E310" s="5" t="str">
        <f t="shared" si="13"/>
        <v>q81</v>
      </c>
      <c r="F310" s="5">
        <f t="shared" si="12"/>
        <v>0</v>
      </c>
      <c r="G310" s="13"/>
      <c r="H310" s="13"/>
      <c r="I310" s="13"/>
      <c r="J310" s="13"/>
      <c r="K310" s="13" t="str">
        <f>IF(A310&lt;&gt;"",VLOOKUP(A310,Variables!$A:$C,3,FALSE),"")</f>
        <v/>
      </c>
    </row>
    <row r="311" spans="1:11" customFormat="1" x14ac:dyDescent="0.2">
      <c r="A311" s="11" t="s">
        <v>125</v>
      </c>
      <c r="B311" s="11">
        <v>9</v>
      </c>
      <c r="C311" s="11"/>
      <c r="D311" s="21"/>
      <c r="E311" s="5" t="str">
        <f t="shared" si="13"/>
        <v>q81</v>
      </c>
      <c r="F311" s="5">
        <f t="shared" si="12"/>
        <v>0</v>
      </c>
      <c r="G311" s="13"/>
      <c r="H311" s="13"/>
      <c r="I311" s="13"/>
      <c r="J311" s="13"/>
      <c r="K311" s="13" t="str">
        <f>IF(A311&lt;&gt;"",VLOOKUP(A311,Variables!$A:$C,3,FALSE),"")</f>
        <v/>
      </c>
    </row>
    <row r="312" spans="1:11" customFormat="1" x14ac:dyDescent="0.2">
      <c r="A312" s="11" t="s">
        <v>125</v>
      </c>
      <c r="B312" s="11">
        <v>10</v>
      </c>
      <c r="C312" s="11"/>
      <c r="D312" s="21"/>
      <c r="E312" s="5" t="str">
        <f t="shared" si="13"/>
        <v>q81</v>
      </c>
      <c r="F312" s="5">
        <f t="shared" si="12"/>
        <v>0</v>
      </c>
      <c r="G312" s="13"/>
      <c r="H312" s="13"/>
      <c r="I312" s="13"/>
      <c r="J312" s="13"/>
      <c r="K312" s="13" t="str">
        <f>IF(A312&lt;&gt;"",VLOOKUP(A312,Variables!$A:$C,3,FALSE),"")</f>
        <v/>
      </c>
    </row>
    <row r="313" spans="1:11" customFormat="1" x14ac:dyDescent="0.2">
      <c r="A313" s="11" t="s">
        <v>125</v>
      </c>
      <c r="B313" s="11">
        <v>99</v>
      </c>
      <c r="C313" s="11"/>
      <c r="D313" s="21"/>
      <c r="E313" s="5" t="str">
        <f t="shared" si="13"/>
        <v>q81</v>
      </c>
      <c r="F313" s="5">
        <f t="shared" si="12"/>
        <v>0</v>
      </c>
      <c r="G313" s="13"/>
      <c r="H313" s="13"/>
      <c r="I313" s="13"/>
      <c r="J313" s="13"/>
      <c r="K313" s="13" t="str">
        <f>IF(A313&lt;&gt;"",VLOOKUP(A313,Variables!$A:$C,3,FALSE),"")</f>
        <v/>
      </c>
    </row>
    <row r="314" spans="1:11" customFormat="1" x14ac:dyDescent="0.2">
      <c r="A314" s="11" t="s">
        <v>156</v>
      </c>
      <c r="B314" s="11">
        <v>-2</v>
      </c>
      <c r="C314" s="11"/>
      <c r="D314" s="21"/>
      <c r="E314" s="5" t="str">
        <f t="shared" si="13"/>
        <v>q82</v>
      </c>
      <c r="F314" s="5">
        <f t="shared" si="12"/>
        <v>0</v>
      </c>
      <c r="G314" s="13"/>
      <c r="H314" s="13"/>
      <c r="I314" s="13"/>
      <c r="J314" s="13"/>
      <c r="K314" s="13">
        <f>IF(A314&lt;&gt;"",VLOOKUP(A314,Variables!$A:$C,3,FALSE),"")</f>
        <v>0</v>
      </c>
    </row>
    <row r="315" spans="1:11" customFormat="1" x14ac:dyDescent="0.2">
      <c r="A315" s="11" t="s">
        <v>125</v>
      </c>
      <c r="B315" s="11">
        <v>1</v>
      </c>
      <c r="C315" s="11"/>
      <c r="D315" s="21" t="s">
        <v>95</v>
      </c>
      <c r="E315" s="5" t="str">
        <f t="shared" si="13"/>
        <v>q82</v>
      </c>
      <c r="F315" s="5">
        <f t="shared" si="12"/>
        <v>0</v>
      </c>
      <c r="G315" s="13"/>
      <c r="H315" s="13"/>
      <c r="I315" s="13"/>
      <c r="J315" s="13"/>
      <c r="K315" s="13" t="str">
        <f>IF(A315&lt;&gt;"",VLOOKUP(A315,Variables!$A:$C,3,FALSE),"")</f>
        <v/>
      </c>
    </row>
    <row r="316" spans="1:11" customFormat="1" x14ac:dyDescent="0.2">
      <c r="A316" s="11" t="s">
        <v>125</v>
      </c>
      <c r="B316" s="11">
        <v>2</v>
      </c>
      <c r="C316" s="11"/>
      <c r="D316" s="21"/>
      <c r="E316" s="5" t="str">
        <f t="shared" si="13"/>
        <v>q82</v>
      </c>
      <c r="F316" s="5">
        <f t="shared" si="12"/>
        <v>0</v>
      </c>
      <c r="G316" s="13"/>
      <c r="H316" s="13"/>
      <c r="I316" s="13"/>
      <c r="J316" s="13"/>
      <c r="K316" s="13" t="str">
        <f>IF(A316&lt;&gt;"",VLOOKUP(A316,Variables!$A:$C,3,FALSE),"")</f>
        <v/>
      </c>
    </row>
    <row r="317" spans="1:11" customFormat="1" x14ac:dyDescent="0.2">
      <c r="A317" s="11" t="s">
        <v>125</v>
      </c>
      <c r="B317" s="11">
        <v>3</v>
      </c>
      <c r="C317" s="11"/>
      <c r="D317" s="21"/>
      <c r="E317" s="5" t="str">
        <f t="shared" si="13"/>
        <v>q82</v>
      </c>
      <c r="F317" s="5">
        <f t="shared" si="12"/>
        <v>0</v>
      </c>
      <c r="G317" s="13"/>
      <c r="H317" s="13"/>
      <c r="I317" s="13"/>
      <c r="J317" s="13"/>
      <c r="K317" s="13" t="str">
        <f>IF(A317&lt;&gt;"",VLOOKUP(A317,Variables!$A:$C,3,FALSE),"")</f>
        <v/>
      </c>
    </row>
    <row r="318" spans="1:11" customFormat="1" x14ac:dyDescent="0.2">
      <c r="A318" s="11" t="s">
        <v>125</v>
      </c>
      <c r="B318" s="11">
        <v>4</v>
      </c>
      <c r="C318" s="11"/>
      <c r="D318" s="21"/>
      <c r="E318" s="5" t="str">
        <f t="shared" si="13"/>
        <v>q82</v>
      </c>
      <c r="F318" s="5">
        <f t="shared" si="12"/>
        <v>0</v>
      </c>
      <c r="G318" s="13"/>
      <c r="H318" s="13"/>
      <c r="I318" s="13"/>
      <c r="J318" s="13"/>
      <c r="K318" s="13" t="str">
        <f>IF(A318&lt;&gt;"",VLOOKUP(A318,Variables!$A:$C,3,FALSE),"")</f>
        <v/>
      </c>
    </row>
    <row r="319" spans="1:11" customFormat="1" x14ac:dyDescent="0.2">
      <c r="A319" s="11" t="s">
        <v>125</v>
      </c>
      <c r="B319" s="11">
        <v>5</v>
      </c>
      <c r="C319" s="11"/>
      <c r="D319" s="21"/>
      <c r="E319" s="5" t="str">
        <f t="shared" si="13"/>
        <v>q82</v>
      </c>
      <c r="F319" s="5">
        <f t="shared" si="12"/>
        <v>0</v>
      </c>
      <c r="G319" s="13"/>
      <c r="H319" s="13"/>
      <c r="I319" s="13"/>
      <c r="J319" s="13"/>
      <c r="K319" s="13" t="str">
        <f>IF(A319&lt;&gt;"",VLOOKUP(A319,Variables!$A:$C,3,FALSE),"")</f>
        <v/>
      </c>
    </row>
    <row r="320" spans="1:11" customFormat="1" x14ac:dyDescent="0.2">
      <c r="A320" s="11" t="s">
        <v>125</v>
      </c>
      <c r="B320" s="11">
        <v>6</v>
      </c>
      <c r="C320" s="11"/>
      <c r="D320" s="21"/>
      <c r="E320" s="5" t="str">
        <f t="shared" si="13"/>
        <v>q82</v>
      </c>
      <c r="F320" s="5">
        <f t="shared" si="12"/>
        <v>0</v>
      </c>
      <c r="G320" s="13"/>
      <c r="H320" s="13"/>
      <c r="I320" s="13"/>
      <c r="J320" s="13"/>
      <c r="K320" s="13" t="str">
        <f>IF(A320&lt;&gt;"",VLOOKUP(A320,Variables!$A:$C,3,FALSE),"")</f>
        <v/>
      </c>
    </row>
    <row r="321" spans="1:11" customFormat="1" x14ac:dyDescent="0.2">
      <c r="A321" s="11" t="s">
        <v>125</v>
      </c>
      <c r="B321" s="11">
        <v>7</v>
      </c>
      <c r="C321" s="11"/>
      <c r="D321" s="21"/>
      <c r="E321" s="5" t="str">
        <f t="shared" si="13"/>
        <v>q82</v>
      </c>
      <c r="F321" s="5">
        <f t="shared" si="12"/>
        <v>0</v>
      </c>
      <c r="G321" s="13"/>
      <c r="H321" s="13"/>
      <c r="I321" s="13"/>
      <c r="J321" s="13"/>
      <c r="K321" s="13" t="str">
        <f>IF(A321&lt;&gt;"",VLOOKUP(A321,Variables!$A:$C,3,FALSE),"")</f>
        <v/>
      </c>
    </row>
    <row r="322" spans="1:11" customFormat="1" x14ac:dyDescent="0.2">
      <c r="A322" s="11" t="s">
        <v>125</v>
      </c>
      <c r="B322" s="11">
        <v>8</v>
      </c>
      <c r="C322" s="11"/>
      <c r="D322" s="21"/>
      <c r="E322" s="5" t="str">
        <f t="shared" si="13"/>
        <v>q82</v>
      </c>
      <c r="F322" s="5">
        <f t="shared" si="12"/>
        <v>0</v>
      </c>
      <c r="G322" s="13"/>
      <c r="H322" s="13"/>
      <c r="I322" s="13"/>
      <c r="J322" s="13"/>
      <c r="K322" s="13" t="str">
        <f>IF(A322&lt;&gt;"",VLOOKUP(A322,Variables!$A:$C,3,FALSE),"")</f>
        <v/>
      </c>
    </row>
    <row r="323" spans="1:11" customFormat="1" ht="12.75" customHeight="1" x14ac:dyDescent="0.2">
      <c r="A323" s="11" t="s">
        <v>125</v>
      </c>
      <c r="B323" s="11">
        <v>9</v>
      </c>
      <c r="C323" s="11"/>
      <c r="D323" s="21"/>
      <c r="E323" s="5" t="str">
        <f t="shared" si="13"/>
        <v>q82</v>
      </c>
      <c r="F323" s="5">
        <f t="shared" si="12"/>
        <v>0</v>
      </c>
      <c r="G323" s="13"/>
      <c r="H323" s="13"/>
      <c r="I323" s="13"/>
      <c r="J323" s="13"/>
      <c r="K323" s="13" t="str">
        <f>IF(A323&lt;&gt;"",VLOOKUP(A323,Variables!$A:$C,3,FALSE),"")</f>
        <v/>
      </c>
    </row>
    <row r="324" spans="1:11" customFormat="1" x14ac:dyDescent="0.2">
      <c r="A324" s="11" t="s">
        <v>125</v>
      </c>
      <c r="B324" s="11">
        <v>10</v>
      </c>
      <c r="C324" s="11"/>
      <c r="D324" s="21" t="s">
        <v>96</v>
      </c>
      <c r="E324" s="5" t="str">
        <f t="shared" si="13"/>
        <v>q82</v>
      </c>
      <c r="F324" s="5">
        <f t="shared" si="12"/>
        <v>0</v>
      </c>
      <c r="G324" s="13"/>
      <c r="H324" s="13"/>
      <c r="I324" s="13"/>
      <c r="J324" s="13"/>
      <c r="K324" s="13" t="str">
        <f>IF(A324&lt;&gt;"",VLOOKUP(A324,Variables!$A:$C,3,FALSE),"")</f>
        <v/>
      </c>
    </row>
    <row r="325" spans="1:11" customFormat="1" x14ac:dyDescent="0.2">
      <c r="A325" s="11" t="s">
        <v>125</v>
      </c>
      <c r="B325" s="11">
        <v>99</v>
      </c>
      <c r="C325" s="11"/>
      <c r="D325" s="21"/>
      <c r="E325" s="5" t="str">
        <f t="shared" si="13"/>
        <v>q82</v>
      </c>
      <c r="F325" s="5">
        <f t="shared" si="12"/>
        <v>0</v>
      </c>
      <c r="G325" s="13"/>
      <c r="H325" s="13"/>
      <c r="I325" s="13"/>
      <c r="J325" s="13"/>
      <c r="K325" s="13" t="str">
        <f>IF(A325&lt;&gt;"",VLOOKUP(A325,Variables!$A:$C,3,FALSE),"")</f>
        <v/>
      </c>
    </row>
    <row r="326" spans="1:11" customFormat="1" x14ac:dyDescent="0.2">
      <c r="A326" s="11" t="s">
        <v>327</v>
      </c>
      <c r="B326" s="11">
        <v>-2</v>
      </c>
      <c r="C326" s="11"/>
      <c r="D326" s="21"/>
      <c r="E326" s="5" t="str">
        <f t="shared" si="13"/>
        <v>q91</v>
      </c>
      <c r="F326" s="5">
        <f t="shared" si="12"/>
        <v>0</v>
      </c>
      <c r="G326" s="13"/>
      <c r="H326" s="13"/>
      <c r="I326" s="13"/>
      <c r="J326" s="13"/>
      <c r="K326" s="13">
        <f>IF(A326&lt;&gt;"",VLOOKUP(A326,Variables!$A:$C,3,FALSE),"")</f>
        <v>0</v>
      </c>
    </row>
    <row r="327" spans="1:11" customFormat="1" x14ac:dyDescent="0.2">
      <c r="A327" s="11" t="s">
        <v>125</v>
      </c>
      <c r="B327" s="11">
        <v>0</v>
      </c>
      <c r="C327" s="11"/>
      <c r="D327" s="21" t="s">
        <v>97</v>
      </c>
      <c r="E327" s="5" t="str">
        <f t="shared" si="13"/>
        <v>q91</v>
      </c>
      <c r="F327" s="5">
        <f t="shared" si="12"/>
        <v>0</v>
      </c>
      <c r="G327" s="13"/>
      <c r="H327" s="13"/>
      <c r="I327" s="13"/>
      <c r="J327" s="13"/>
      <c r="K327" s="13" t="str">
        <f>IF(A327&lt;&gt;"",VLOOKUP(A327,Variables!$A:$C,3,FALSE),"")</f>
        <v/>
      </c>
    </row>
    <row r="328" spans="1:11" customFormat="1" ht="12.75" customHeight="1" x14ac:dyDescent="0.2">
      <c r="A328" s="11" t="s">
        <v>125</v>
      </c>
      <c r="B328" s="11">
        <v>1</v>
      </c>
      <c r="C328" s="11"/>
      <c r="D328" s="21">
        <v>1</v>
      </c>
      <c r="E328" s="5" t="str">
        <f t="shared" si="13"/>
        <v>q91</v>
      </c>
      <c r="F328" s="5">
        <f t="shared" si="12"/>
        <v>0</v>
      </c>
      <c r="G328" s="13"/>
      <c r="H328" s="13"/>
      <c r="I328" s="13"/>
      <c r="J328" s="13"/>
      <c r="K328" s="13" t="str">
        <f>IF(A328&lt;&gt;"",VLOOKUP(A328,Variables!$A:$C,3,FALSE),"")</f>
        <v/>
      </c>
    </row>
    <row r="329" spans="1:11" customFormat="1" x14ac:dyDescent="0.2">
      <c r="A329" s="11" t="s">
        <v>125</v>
      </c>
      <c r="B329" s="11">
        <v>2</v>
      </c>
      <c r="C329" s="11"/>
      <c r="D329" s="21"/>
      <c r="E329" s="5" t="str">
        <f t="shared" si="13"/>
        <v>q91</v>
      </c>
      <c r="F329" s="5">
        <f t="shared" si="12"/>
        <v>0</v>
      </c>
      <c r="G329" s="13"/>
      <c r="H329" s="13"/>
      <c r="I329" s="13"/>
      <c r="J329" s="13"/>
      <c r="K329" s="13" t="str">
        <f>IF(A329&lt;&gt;"",VLOOKUP(A329,Variables!$A:$C,3,FALSE),"")</f>
        <v/>
      </c>
    </row>
    <row r="330" spans="1:11" customFormat="1" x14ac:dyDescent="0.2">
      <c r="A330" s="11" t="s">
        <v>125</v>
      </c>
      <c r="B330" s="11">
        <v>3</v>
      </c>
      <c r="C330" s="11"/>
      <c r="D330" s="21"/>
      <c r="E330" s="5" t="str">
        <f t="shared" si="13"/>
        <v>q91</v>
      </c>
      <c r="F330" s="5">
        <f t="shared" si="12"/>
        <v>0</v>
      </c>
      <c r="G330" s="13"/>
      <c r="H330" s="13"/>
      <c r="I330" s="13"/>
      <c r="J330" s="13"/>
      <c r="K330" s="13" t="str">
        <f>IF(A330&lt;&gt;"",VLOOKUP(A330,Variables!$A:$C,3,FALSE),"")</f>
        <v/>
      </c>
    </row>
    <row r="331" spans="1:11" customFormat="1" x14ac:dyDescent="0.2">
      <c r="A331" s="11" t="s">
        <v>125</v>
      </c>
      <c r="B331" s="11">
        <v>4</v>
      </c>
      <c r="C331" s="11"/>
      <c r="D331" s="21"/>
      <c r="E331" s="5" t="str">
        <f t="shared" si="13"/>
        <v>q91</v>
      </c>
      <c r="F331" s="5">
        <f t="shared" si="12"/>
        <v>0</v>
      </c>
      <c r="G331" s="13"/>
      <c r="H331" s="13"/>
      <c r="I331" s="13"/>
      <c r="J331" s="13"/>
      <c r="K331" s="13" t="str">
        <f>IF(A331&lt;&gt;"",VLOOKUP(A331,Variables!$A:$C,3,FALSE),"")</f>
        <v/>
      </c>
    </row>
    <row r="332" spans="1:11" customFormat="1" x14ac:dyDescent="0.2">
      <c r="A332" s="11" t="s">
        <v>125</v>
      </c>
      <c r="B332" s="11">
        <v>5</v>
      </c>
      <c r="C332" s="11"/>
      <c r="D332" s="21"/>
      <c r="E332" s="5" t="str">
        <f t="shared" si="13"/>
        <v>q91</v>
      </c>
      <c r="F332" s="5">
        <f t="shared" si="12"/>
        <v>0</v>
      </c>
      <c r="G332" s="13"/>
      <c r="H332" s="13"/>
      <c r="I332" s="13"/>
      <c r="J332" s="13"/>
      <c r="K332" s="13" t="str">
        <f>IF(A332&lt;&gt;"",VLOOKUP(A332,Variables!$A:$C,3,FALSE),"")</f>
        <v/>
      </c>
    </row>
    <row r="333" spans="1:11" customFormat="1" ht="12.75" customHeight="1" x14ac:dyDescent="0.2">
      <c r="A333" s="11" t="s">
        <v>125</v>
      </c>
      <c r="B333" s="11">
        <v>6</v>
      </c>
      <c r="C333" s="11"/>
      <c r="D333" s="21"/>
      <c r="E333" s="5" t="str">
        <f t="shared" si="13"/>
        <v>q91</v>
      </c>
      <c r="F333" s="5">
        <f t="shared" si="12"/>
        <v>0</v>
      </c>
      <c r="G333" s="13"/>
      <c r="H333" s="13"/>
      <c r="I333" s="13"/>
      <c r="J333" s="13"/>
      <c r="K333" s="13" t="str">
        <f>IF(A333&lt;&gt;"",VLOOKUP(A333,Variables!$A:$C,3,FALSE),"")</f>
        <v/>
      </c>
    </row>
    <row r="334" spans="1:11" customFormat="1" x14ac:dyDescent="0.2">
      <c r="A334" s="11" t="s">
        <v>125</v>
      </c>
      <c r="B334" s="11">
        <v>7</v>
      </c>
      <c r="C334" s="11"/>
      <c r="D334" s="21"/>
      <c r="E334" s="5" t="str">
        <f t="shared" si="13"/>
        <v>q91</v>
      </c>
      <c r="F334" s="5">
        <f t="shared" si="12"/>
        <v>0</v>
      </c>
      <c r="G334" s="13"/>
      <c r="H334" s="13"/>
      <c r="I334" s="13"/>
      <c r="J334" s="13"/>
      <c r="K334" s="13" t="str">
        <f>IF(A334&lt;&gt;"",VLOOKUP(A334,Variables!$A:$C,3,FALSE),"")</f>
        <v/>
      </c>
    </row>
    <row r="335" spans="1:11" customFormat="1" x14ac:dyDescent="0.2">
      <c r="A335" s="11" t="s">
        <v>125</v>
      </c>
      <c r="B335" s="11">
        <v>8</v>
      </c>
      <c r="C335" s="11"/>
      <c r="D335" s="21"/>
      <c r="E335" s="5" t="str">
        <f t="shared" si="13"/>
        <v>q91</v>
      </c>
      <c r="F335" s="5">
        <f t="shared" si="12"/>
        <v>0</v>
      </c>
      <c r="G335" s="13"/>
      <c r="H335" s="13"/>
      <c r="I335" s="13"/>
      <c r="J335" s="13"/>
      <c r="K335" s="13" t="str">
        <f>IF(A335&lt;&gt;"",VLOOKUP(A335,Variables!$A:$C,3,FALSE),"")</f>
        <v/>
      </c>
    </row>
    <row r="336" spans="1:11" customFormat="1" x14ac:dyDescent="0.2">
      <c r="A336" s="11" t="s">
        <v>125</v>
      </c>
      <c r="B336" s="11">
        <v>9</v>
      </c>
      <c r="C336" s="11"/>
      <c r="D336" s="21"/>
      <c r="E336" s="5" t="str">
        <f t="shared" si="13"/>
        <v>q91</v>
      </c>
      <c r="F336" s="5">
        <f t="shared" si="12"/>
        <v>0</v>
      </c>
      <c r="G336" s="13"/>
      <c r="H336" s="13"/>
      <c r="I336" s="13"/>
      <c r="J336" s="13"/>
      <c r="K336" s="13" t="str">
        <f>IF(A336&lt;&gt;"",VLOOKUP(A336,Variables!$A:$C,3,FALSE),"")</f>
        <v/>
      </c>
    </row>
    <row r="337" spans="1:11" customFormat="1" x14ac:dyDescent="0.2">
      <c r="A337" s="11" t="s">
        <v>125</v>
      </c>
      <c r="B337" s="11">
        <v>10</v>
      </c>
      <c r="C337" s="11"/>
      <c r="D337" s="21" t="s">
        <v>98</v>
      </c>
      <c r="E337" s="5" t="str">
        <f t="shared" si="13"/>
        <v>q91</v>
      </c>
      <c r="F337" s="5">
        <f t="shared" si="12"/>
        <v>0</v>
      </c>
      <c r="G337" s="13"/>
      <c r="H337" s="13"/>
      <c r="I337" s="13"/>
      <c r="J337" s="13"/>
      <c r="K337" s="13" t="str">
        <f>IF(A337&lt;&gt;"",VLOOKUP(A337,Variables!$A:$C,3,FALSE),"")</f>
        <v/>
      </c>
    </row>
    <row r="338" spans="1:11" customFormat="1" x14ac:dyDescent="0.2">
      <c r="A338" s="11" t="s">
        <v>125</v>
      </c>
      <c r="B338" s="11">
        <v>99</v>
      </c>
      <c r="C338" s="11"/>
      <c r="D338" s="21"/>
      <c r="E338" s="5" t="str">
        <f t="shared" si="13"/>
        <v>q91</v>
      </c>
      <c r="F338" s="5">
        <f t="shared" si="12"/>
        <v>0</v>
      </c>
      <c r="G338" s="13"/>
      <c r="H338" s="13"/>
      <c r="I338" s="13"/>
      <c r="J338" s="13"/>
      <c r="K338" s="13" t="str">
        <f>IF(A338&lt;&gt;"",VLOOKUP(A338,Variables!$A:$C,3,FALSE),"")</f>
        <v/>
      </c>
    </row>
    <row r="339" spans="1:11" customFormat="1" x14ac:dyDescent="0.2">
      <c r="A339" s="11" t="s">
        <v>328</v>
      </c>
      <c r="B339" s="11">
        <v>-2</v>
      </c>
      <c r="C339" s="11"/>
      <c r="D339" s="21"/>
      <c r="E339" s="5" t="str">
        <f t="shared" si="13"/>
        <v>q92</v>
      </c>
      <c r="F339" s="5">
        <f t="shared" si="12"/>
        <v>0</v>
      </c>
      <c r="G339" s="13"/>
      <c r="H339" s="13"/>
      <c r="I339" s="13"/>
      <c r="J339" s="13"/>
      <c r="K339" s="13">
        <f>IF(A339&lt;&gt;"",VLOOKUP(A339,Variables!$A:$C,3,FALSE),"")</f>
        <v>0</v>
      </c>
    </row>
    <row r="340" spans="1:11" customFormat="1" x14ac:dyDescent="0.2">
      <c r="A340" s="11" t="s">
        <v>125</v>
      </c>
      <c r="B340" s="11">
        <v>0</v>
      </c>
      <c r="C340" s="11"/>
      <c r="D340" s="21" t="s">
        <v>97</v>
      </c>
      <c r="E340" s="5" t="str">
        <f t="shared" si="13"/>
        <v>q92</v>
      </c>
      <c r="F340" s="5">
        <f t="shared" si="12"/>
        <v>0</v>
      </c>
      <c r="G340" s="13"/>
      <c r="H340" s="13"/>
      <c r="I340" s="13"/>
      <c r="J340" s="13"/>
      <c r="K340" s="13" t="str">
        <f>IF(A340&lt;&gt;"",VLOOKUP(A340,Variables!$A:$C,3,FALSE),"")</f>
        <v/>
      </c>
    </row>
    <row r="341" spans="1:11" customFormat="1" x14ac:dyDescent="0.2">
      <c r="A341" s="11" t="s">
        <v>125</v>
      </c>
      <c r="B341" s="11">
        <v>1</v>
      </c>
      <c r="C341" s="11"/>
      <c r="D341" s="21">
        <v>1</v>
      </c>
      <c r="E341" s="5" t="str">
        <f t="shared" si="13"/>
        <v>q92</v>
      </c>
      <c r="F341" s="5">
        <f t="shared" si="12"/>
        <v>0</v>
      </c>
      <c r="G341" s="13"/>
      <c r="H341" s="13"/>
      <c r="I341" s="13"/>
      <c r="J341" s="13"/>
      <c r="K341" s="13" t="str">
        <f>IF(A341&lt;&gt;"",VLOOKUP(A341,Variables!$A:$C,3,FALSE),"")</f>
        <v/>
      </c>
    </row>
    <row r="342" spans="1:11" customFormat="1" x14ac:dyDescent="0.2">
      <c r="A342" s="11" t="s">
        <v>125</v>
      </c>
      <c r="B342" s="11">
        <v>2</v>
      </c>
      <c r="C342" s="11"/>
      <c r="D342" s="21"/>
      <c r="E342" s="5" t="str">
        <f t="shared" si="13"/>
        <v>q92</v>
      </c>
      <c r="F342" s="5">
        <f t="shared" si="12"/>
        <v>0</v>
      </c>
      <c r="G342" s="13"/>
      <c r="H342" s="13"/>
      <c r="I342" s="13"/>
      <c r="J342" s="13"/>
      <c r="K342" s="13" t="str">
        <f>IF(A342&lt;&gt;"",VLOOKUP(A342,Variables!$A:$C,3,FALSE),"")</f>
        <v/>
      </c>
    </row>
    <row r="343" spans="1:11" customFormat="1" x14ac:dyDescent="0.2">
      <c r="A343" s="11" t="s">
        <v>125</v>
      </c>
      <c r="B343" s="11">
        <v>3</v>
      </c>
      <c r="C343" s="11"/>
      <c r="D343" s="21"/>
      <c r="E343" s="5" t="str">
        <f t="shared" si="13"/>
        <v>q92</v>
      </c>
      <c r="F343" s="5">
        <f t="shared" si="12"/>
        <v>0</v>
      </c>
      <c r="G343" s="13"/>
      <c r="H343" s="13"/>
      <c r="I343" s="13"/>
      <c r="J343" s="13"/>
      <c r="K343" s="13" t="str">
        <f>IF(A343&lt;&gt;"",VLOOKUP(A343,Variables!$A:$C,3,FALSE),"")</f>
        <v/>
      </c>
    </row>
    <row r="344" spans="1:11" customFormat="1" x14ac:dyDescent="0.2">
      <c r="A344" s="11" t="s">
        <v>125</v>
      </c>
      <c r="B344" s="11">
        <v>4</v>
      </c>
      <c r="C344" s="11"/>
      <c r="D344" s="21"/>
      <c r="E344" s="5" t="str">
        <f t="shared" si="13"/>
        <v>q92</v>
      </c>
      <c r="F344" s="5">
        <f t="shared" si="12"/>
        <v>0</v>
      </c>
      <c r="G344" s="13"/>
      <c r="H344" s="13"/>
      <c r="I344" s="13"/>
      <c r="J344" s="13"/>
      <c r="K344" s="13" t="str">
        <f>IF(A344&lt;&gt;"",VLOOKUP(A344,Variables!$A:$C,3,FALSE),"")</f>
        <v/>
      </c>
    </row>
    <row r="345" spans="1:11" customFormat="1" x14ac:dyDescent="0.2">
      <c r="A345" s="11" t="s">
        <v>125</v>
      </c>
      <c r="B345" s="11">
        <v>5</v>
      </c>
      <c r="C345" s="11"/>
      <c r="D345" s="21"/>
      <c r="E345" s="5" t="str">
        <f t="shared" si="13"/>
        <v>q92</v>
      </c>
      <c r="F345" s="5">
        <f t="shared" si="12"/>
        <v>0</v>
      </c>
      <c r="G345" s="13"/>
      <c r="H345" s="13"/>
      <c r="I345" s="13"/>
      <c r="J345" s="13"/>
      <c r="K345" s="13" t="str">
        <f>IF(A345&lt;&gt;"",VLOOKUP(A345,Variables!$A:$C,3,FALSE),"")</f>
        <v/>
      </c>
    </row>
    <row r="346" spans="1:11" customFormat="1" x14ac:dyDescent="0.2">
      <c r="A346" s="11" t="s">
        <v>125</v>
      </c>
      <c r="B346" s="11">
        <v>6</v>
      </c>
      <c r="C346" s="11"/>
      <c r="D346" s="21"/>
      <c r="E346" s="5" t="str">
        <f t="shared" si="13"/>
        <v>q92</v>
      </c>
      <c r="F346" s="5">
        <f t="shared" si="12"/>
        <v>0</v>
      </c>
      <c r="G346" s="13"/>
      <c r="H346" s="13"/>
      <c r="I346" s="13"/>
      <c r="J346" s="13"/>
      <c r="K346" s="13" t="str">
        <f>IF(A346&lt;&gt;"",VLOOKUP(A346,Variables!$A:$C,3,FALSE),"")</f>
        <v/>
      </c>
    </row>
    <row r="347" spans="1:11" customFormat="1" x14ac:dyDescent="0.2">
      <c r="A347" s="11" t="s">
        <v>125</v>
      </c>
      <c r="B347" s="11">
        <v>7</v>
      </c>
      <c r="C347" s="11"/>
      <c r="D347" s="21"/>
      <c r="E347" s="5" t="str">
        <f t="shared" si="13"/>
        <v>q92</v>
      </c>
      <c r="F347" s="5">
        <f t="shared" si="12"/>
        <v>0</v>
      </c>
      <c r="G347" s="13"/>
      <c r="H347" s="13"/>
      <c r="I347" s="13"/>
      <c r="J347" s="13"/>
      <c r="K347" s="13" t="str">
        <f>IF(A347&lt;&gt;"",VLOOKUP(A347,Variables!$A:$C,3,FALSE),"")</f>
        <v/>
      </c>
    </row>
    <row r="348" spans="1:11" customFormat="1" x14ac:dyDescent="0.2">
      <c r="A348" s="11" t="s">
        <v>125</v>
      </c>
      <c r="B348" s="11">
        <v>8</v>
      </c>
      <c r="C348" s="11"/>
      <c r="D348" s="21"/>
      <c r="E348" s="5" t="str">
        <f t="shared" si="13"/>
        <v>q92</v>
      </c>
      <c r="F348" s="5">
        <f t="shared" ref="F348:F354" si="14">LEN(C348)</f>
        <v>0</v>
      </c>
      <c r="G348" s="13"/>
      <c r="H348" s="13"/>
      <c r="I348" s="13"/>
      <c r="J348" s="13"/>
      <c r="K348" s="13" t="str">
        <f>IF(A348&lt;&gt;"",VLOOKUP(A348,Variables!$A:$C,3,FALSE),"")</f>
        <v/>
      </c>
    </row>
    <row r="349" spans="1:11" customFormat="1" x14ac:dyDescent="0.2">
      <c r="A349" s="11" t="s">
        <v>125</v>
      </c>
      <c r="B349" s="11">
        <v>9</v>
      </c>
      <c r="C349" s="11"/>
      <c r="D349" s="21"/>
      <c r="E349" s="5" t="str">
        <f t="shared" si="13"/>
        <v>q92</v>
      </c>
      <c r="F349" s="5">
        <f t="shared" si="14"/>
        <v>0</v>
      </c>
      <c r="G349" s="13"/>
      <c r="H349" s="13"/>
      <c r="I349" s="13"/>
      <c r="J349" s="13"/>
      <c r="K349" s="13" t="str">
        <f>IF(A349&lt;&gt;"",VLOOKUP(A349,Variables!$A:$C,3,FALSE),"")</f>
        <v/>
      </c>
    </row>
    <row r="350" spans="1:11" customFormat="1" x14ac:dyDescent="0.2">
      <c r="A350" s="11" t="s">
        <v>125</v>
      </c>
      <c r="B350" s="11">
        <v>10</v>
      </c>
      <c r="C350" s="11"/>
      <c r="D350" s="21" t="s">
        <v>98</v>
      </c>
      <c r="E350" s="5" t="str">
        <f t="shared" si="13"/>
        <v>q92</v>
      </c>
      <c r="F350" s="5">
        <f t="shared" si="14"/>
        <v>0</v>
      </c>
      <c r="G350" s="13"/>
      <c r="H350" s="13"/>
      <c r="I350" s="13"/>
      <c r="J350" s="13"/>
      <c r="K350" s="13" t="str">
        <f>IF(A350&lt;&gt;"",VLOOKUP(A350,Variables!$A:$C,3,FALSE),"")</f>
        <v/>
      </c>
    </row>
    <row r="351" spans="1:11" customFormat="1" x14ac:dyDescent="0.2">
      <c r="A351" s="11" t="s">
        <v>125</v>
      </c>
      <c r="B351" s="11">
        <v>99</v>
      </c>
      <c r="C351" s="11"/>
      <c r="D351" s="21"/>
      <c r="E351" s="5" t="str">
        <f t="shared" si="13"/>
        <v>q92</v>
      </c>
      <c r="F351" s="5">
        <f t="shared" si="14"/>
        <v>0</v>
      </c>
      <c r="G351" s="13"/>
      <c r="H351" s="13"/>
      <c r="I351" s="13"/>
      <c r="J351" s="13"/>
      <c r="K351" s="13" t="str">
        <f>IF(A351&lt;&gt;"",VLOOKUP(A351,Variables!$A:$C,3,FALSE),"")</f>
        <v/>
      </c>
    </row>
    <row r="352" spans="1:11" customFormat="1" x14ac:dyDescent="0.2">
      <c r="A352" s="11" t="s">
        <v>291</v>
      </c>
      <c r="B352" s="11">
        <v>-3</v>
      </c>
      <c r="C352" s="11"/>
      <c r="D352" s="21"/>
      <c r="E352" s="5" t="str">
        <f t="shared" si="13"/>
        <v>q10</v>
      </c>
      <c r="F352" s="5">
        <f t="shared" si="14"/>
        <v>0</v>
      </c>
      <c r="G352" s="13"/>
      <c r="H352" s="13"/>
      <c r="I352" s="13"/>
      <c r="J352" s="13"/>
      <c r="K352" s="13">
        <f>IF(A352&lt;&gt;"",VLOOKUP(A352,Variables!$A:$C,3,FALSE),"")</f>
        <v>0</v>
      </c>
    </row>
    <row r="353" spans="1:11" customFormat="1" x14ac:dyDescent="0.2">
      <c r="A353" s="11" t="s">
        <v>125</v>
      </c>
      <c r="B353" s="11">
        <v>-2</v>
      </c>
      <c r="C353" s="11"/>
      <c r="D353" s="21"/>
      <c r="E353" s="5" t="str">
        <f t="shared" si="13"/>
        <v>q10</v>
      </c>
      <c r="F353" s="5">
        <f t="shared" si="14"/>
        <v>0</v>
      </c>
      <c r="G353" s="13"/>
      <c r="H353" s="13"/>
      <c r="I353" s="13"/>
      <c r="J353" s="13"/>
      <c r="K353" s="13" t="str">
        <f>IF(A353&lt;&gt;"",VLOOKUP(A353,Variables!$A:$C,3,FALSE),"")</f>
        <v/>
      </c>
    </row>
    <row r="354" spans="1:11" customFormat="1" x14ac:dyDescent="0.2">
      <c r="A354" s="11" t="s">
        <v>125</v>
      </c>
      <c r="B354" s="11">
        <v>-1</v>
      </c>
      <c r="C354" s="11"/>
      <c r="D354" s="21"/>
      <c r="E354" s="5" t="str">
        <f t="shared" si="13"/>
        <v>q10</v>
      </c>
      <c r="F354" s="5">
        <f t="shared" si="14"/>
        <v>0</v>
      </c>
      <c r="G354" s="13"/>
      <c r="H354" s="13"/>
      <c r="I354" s="13"/>
      <c r="J354" s="13"/>
      <c r="K354" s="13" t="str">
        <f>IF(A354&lt;&gt;"",VLOOKUP(A354,Variables!$A:$C,3,FALSE),"")</f>
        <v/>
      </c>
    </row>
  </sheetData>
  <mergeCells count="1">
    <mergeCell ref="J1:J2"/>
  </mergeCells>
  <pageMargins left="0.7" right="0.7" top="0.78740157499999996" bottom="0.78740157499999996"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21"/>
  <dimension ref="B1:R19"/>
  <sheetViews>
    <sheetView zoomScaleNormal="100" workbookViewId="0">
      <pane xSplit="4" ySplit="18" topLeftCell="E19" activePane="bottomRight" state="frozen"/>
      <selection pane="topRight" activeCell="E1" sqref="E1"/>
      <selection pane="bottomLeft" activeCell="A20" sqref="A20"/>
      <selection pane="bottomRight" activeCell="E19" sqref="E19"/>
    </sheetView>
  </sheetViews>
  <sheetFormatPr baseColWidth="10" defaultColWidth="11.42578125" defaultRowHeight="12.75" x14ac:dyDescent="0.2"/>
  <cols>
    <col min="1" max="2" width="11.42578125" style="18"/>
    <col min="3" max="3" width="6.28515625" style="18" customWidth="1"/>
    <col min="4" max="14" width="11.42578125" style="18"/>
    <col min="15" max="15" width="20.42578125" style="18" customWidth="1"/>
    <col min="16" max="16" width="11.42578125" style="18"/>
    <col min="17" max="17" width="21.140625" style="18" customWidth="1"/>
    <col min="18" max="16384" width="11.42578125" style="18"/>
  </cols>
  <sheetData>
    <row r="1" spans="2:18" hidden="1" x14ac:dyDescent="0.2"/>
    <row r="2" spans="2:18" hidden="1" x14ac:dyDescent="0.2"/>
    <row r="3" spans="2:18" hidden="1" x14ac:dyDescent="0.2"/>
    <row r="4" spans="2:18" x14ac:dyDescent="0.2">
      <c r="B4" s="18" t="s">
        <v>46</v>
      </c>
      <c r="D4" s="20" t="s">
        <v>53</v>
      </c>
    </row>
    <row r="5" spans="2:18" x14ac:dyDescent="0.2">
      <c r="B5" s="18" t="s">
        <v>8</v>
      </c>
      <c r="D5" s="20" t="s">
        <v>23</v>
      </c>
    </row>
    <row r="6" spans="2:18" x14ac:dyDescent="0.2">
      <c r="B6" s="18" t="s">
        <v>7</v>
      </c>
    </row>
    <row r="7" spans="2:18" x14ac:dyDescent="0.2">
      <c r="B7" s="18" t="s">
        <v>55</v>
      </c>
      <c r="D7" s="32"/>
    </row>
    <row r="8" spans="2:18" x14ac:dyDescent="0.2">
      <c r="D8" s="32"/>
    </row>
    <row r="9" spans="2:18" x14ac:dyDescent="0.2">
      <c r="B9" s="18" t="s">
        <v>47</v>
      </c>
      <c r="D9" s="14" t="e">
        <f>V_Projektverzeichnis&amp;"Verbatims\Verbatims_"&amp;V_Projektname&amp;"_"&amp;V_Datum&amp;".xlsx"</f>
        <v>#NAME?</v>
      </c>
    </row>
    <row r="10" spans="2:18" x14ac:dyDescent="0.2">
      <c r="B10" s="18" t="s">
        <v>48</v>
      </c>
      <c r="D10" s="14"/>
    </row>
    <row r="12" spans="2:18" x14ac:dyDescent="0.2">
      <c r="B12" s="20" t="s">
        <v>49</v>
      </c>
      <c r="D12" s="18">
        <v>2</v>
      </c>
    </row>
    <row r="13" spans="2:18" x14ac:dyDescent="0.2">
      <c r="B13" s="20" t="s">
        <v>50</v>
      </c>
    </row>
    <row r="14" spans="2:18" x14ac:dyDescent="0.2">
      <c r="B14" s="20"/>
    </row>
    <row r="15" spans="2:18" x14ac:dyDescent="0.2">
      <c r="B15" s="22"/>
      <c r="C15" s="23"/>
      <c r="D15" s="23"/>
      <c r="E15" s="23"/>
      <c r="F15" s="23"/>
      <c r="G15" s="23"/>
      <c r="H15" s="23" t="str">
        <f>MID(B15,3,100)&amp;IF(C15=2,"n{nn}",IF(C15=3,"_{nn}",""))</f>
        <v/>
      </c>
      <c r="I15" s="23"/>
      <c r="J15" s="23"/>
      <c r="K15" s="23"/>
      <c r="L15" s="23"/>
      <c r="M15" s="23"/>
      <c r="N15" s="23"/>
      <c r="O15" s="23"/>
      <c r="P15" s="23"/>
      <c r="Q15" s="23"/>
      <c r="R15" s="15" t="str">
        <f>IF(D15&lt;&gt;"",D15,"")</f>
        <v/>
      </c>
    </row>
    <row r="16" spans="2:18" hidden="1" x14ac:dyDescent="0.2"/>
    <row r="17" spans="2:18" hidden="1" x14ac:dyDescent="0.2"/>
    <row r="18" spans="2:18" ht="38.25" x14ac:dyDescent="0.2">
      <c r="B18" s="19" t="s">
        <v>19</v>
      </c>
      <c r="C18" s="19" t="s">
        <v>20</v>
      </c>
      <c r="D18" s="19" t="s">
        <v>9</v>
      </c>
      <c r="E18" s="19" t="s">
        <v>10</v>
      </c>
      <c r="F18" s="19" t="s">
        <v>19</v>
      </c>
      <c r="G18" s="19" t="s">
        <v>21</v>
      </c>
      <c r="H18" s="19" t="s">
        <v>22</v>
      </c>
      <c r="I18" s="19" t="s">
        <v>11</v>
      </c>
      <c r="J18" s="19" t="s">
        <v>12</v>
      </c>
      <c r="K18" s="19" t="s">
        <v>13</v>
      </c>
      <c r="L18" s="19" t="s">
        <v>14</v>
      </c>
      <c r="M18" s="19" t="s">
        <v>15</v>
      </c>
      <c r="N18" s="19" t="s">
        <v>54</v>
      </c>
      <c r="O18" s="19" t="s">
        <v>16</v>
      </c>
      <c r="P18" s="19" t="s">
        <v>17</v>
      </c>
      <c r="Q18" s="19" t="s">
        <v>18</v>
      </c>
      <c r="R18" s="19" t="s">
        <v>3</v>
      </c>
    </row>
    <row r="19" spans="2:18" x14ac:dyDescent="0.2">
      <c r="B19" t="s">
        <v>99</v>
      </c>
      <c r="C19" s="16">
        <v>2</v>
      </c>
      <c r="D19" s="16" t="s">
        <v>100</v>
      </c>
      <c r="E19" s="16"/>
      <c r="F19" s="16"/>
      <c r="G19" s="16"/>
      <c r="H19" s="16" t="str">
        <f t="shared" ref="H19" si="0">MID(B19,3,100)&amp;IF(C19=2,"n{nn}",IF(C19=3,"_{nn}",""))</f>
        <v>q5n{nn}</v>
      </c>
      <c r="I19" s="17"/>
      <c r="J19" s="16"/>
      <c r="K19" s="16"/>
      <c r="L19" s="16">
        <v>100</v>
      </c>
      <c r="M19" s="16"/>
      <c r="N19" s="16"/>
      <c r="O19" s="16"/>
      <c r="P19" s="16"/>
      <c r="Q19" s="16"/>
      <c r="R19" s="16" t="str">
        <f t="shared" ref="R19" si="1">IF(D19&lt;&gt;"",D19,"")</f>
        <v>Q5</v>
      </c>
    </row>
  </sheetData>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6" r:id="rId4" name="VerbErstellen">
              <controlPr defaultSize="0" print="0" autoFill="0" autoPict="0" macro="[1]!VerbErstellen">
                <anchor>
                  <from>
                    <xdr:col>10</xdr:col>
                    <xdr:colOff>647700</xdr:colOff>
                    <xdr:row>3</xdr:row>
                    <xdr:rowOff>95250</xdr:rowOff>
                  </from>
                  <to>
                    <xdr:col>12</xdr:col>
                    <xdr:colOff>428625</xdr:colOff>
                    <xdr:row>4</xdr:row>
                    <xdr:rowOff>142875</xdr:rowOff>
                  </to>
                </anchor>
              </controlPr>
            </control>
          </mc:Choice>
        </mc:AlternateContent>
        <mc:AlternateContent xmlns:mc="http://schemas.openxmlformats.org/markup-compatibility/2006">
          <mc:Choice Requires="x14">
            <control shapeId="16389" r:id="rId5" name="Button 5">
              <controlPr defaultSize="0" print="0" autoFill="0" autoPict="0" macro="[1]!VerbEinlesen">
                <anchor>
                  <from>
                    <xdr:col>10</xdr:col>
                    <xdr:colOff>647700</xdr:colOff>
                    <xdr:row>5</xdr:row>
                    <xdr:rowOff>76200</xdr:rowOff>
                  </from>
                  <to>
                    <xdr:col>12</xdr:col>
                    <xdr:colOff>428625</xdr:colOff>
                    <xdr:row>6</xdr:row>
                    <xdr:rowOff>123825</xdr:rowOff>
                  </to>
                </anchor>
              </controlPr>
            </control>
          </mc:Choice>
        </mc:AlternateContent>
        <mc:AlternateContent xmlns:mc="http://schemas.openxmlformats.org/markup-compatibility/2006">
          <mc:Choice Requires="x14">
            <control shapeId="16390" r:id="rId6" name="Button 6">
              <controlPr defaultSize="0" print="0" autoFill="0" autoPict="0" macro="[1]!Verbcode">
                <anchor>
                  <from>
                    <xdr:col>10</xdr:col>
                    <xdr:colOff>657225</xdr:colOff>
                    <xdr:row>8</xdr:row>
                    <xdr:rowOff>76200</xdr:rowOff>
                  </from>
                  <to>
                    <xdr:col>12</xdr:col>
                    <xdr:colOff>438150</xdr:colOff>
                    <xdr:row>9</xdr:row>
                    <xdr:rowOff>123825</xdr:rowOff>
                  </to>
                </anchor>
              </controlPr>
            </control>
          </mc:Choice>
        </mc:AlternateContent>
        <mc:AlternateContent xmlns:mc="http://schemas.openxmlformats.org/markup-compatibility/2006">
          <mc:Choice Requires="x14">
            <control shapeId="16395" r:id="rId7" name="Button 11">
              <controlPr defaultSize="0" print="0" autoFill="0" autoPict="0" macro="[1]!VerbcodeDraft">
                <anchor>
                  <from>
                    <xdr:col>10</xdr:col>
                    <xdr:colOff>657225</xdr:colOff>
                    <xdr:row>10</xdr:row>
                    <xdr:rowOff>57150</xdr:rowOff>
                  </from>
                  <to>
                    <xdr:col>12</xdr:col>
                    <xdr:colOff>438150</xdr:colOff>
                    <xdr:row>11</xdr:row>
                    <xdr:rowOff>104775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6"/>
  <dimension ref="A1:I43"/>
  <sheetViews>
    <sheetView zoomScaleNormal="100" workbookViewId="0">
      <pane ySplit="1" topLeftCell="A2" activePane="bottomLeft" state="frozen"/>
      <selection pane="bottomLeft" activeCell="B37" sqref="B37"/>
    </sheetView>
  </sheetViews>
  <sheetFormatPr baseColWidth="10" defaultColWidth="11.42578125" defaultRowHeight="12.75" x14ac:dyDescent="0.2"/>
  <cols>
    <col min="1" max="1" width="21.5703125" style="1" customWidth="1"/>
  </cols>
  <sheetData>
    <row r="1" spans="1:9" ht="24" customHeight="1" x14ac:dyDescent="0.2">
      <c r="A1" s="30"/>
    </row>
    <row r="2" spans="1:9" x14ac:dyDescent="0.2">
      <c r="A2" s="2" t="s">
        <v>109</v>
      </c>
      <c r="B2" s="31" t="s">
        <v>110</v>
      </c>
      <c r="C2">
        <v>34</v>
      </c>
    </row>
    <row r="3" spans="1:9" x14ac:dyDescent="0.2">
      <c r="A3" s="2" t="s">
        <v>111</v>
      </c>
      <c r="B3" s="31" t="s">
        <v>92</v>
      </c>
      <c r="C3" s="31" t="s">
        <v>110</v>
      </c>
    </row>
    <row r="5" spans="1:9" x14ac:dyDescent="0.2">
      <c r="A5" s="2"/>
      <c r="B5" s="31"/>
      <c r="C5" s="31"/>
    </row>
    <row r="6" spans="1:9" x14ac:dyDescent="0.2">
      <c r="A6" s="2"/>
    </row>
    <row r="7" spans="1:9" x14ac:dyDescent="0.2">
      <c r="A7" s="2" t="s">
        <v>112</v>
      </c>
      <c r="B7" s="31" t="s">
        <v>157</v>
      </c>
      <c r="C7" s="31" t="s">
        <v>158</v>
      </c>
      <c r="D7" s="31" t="s">
        <v>113</v>
      </c>
    </row>
    <row r="8" spans="1:9" x14ac:dyDescent="0.2">
      <c r="B8">
        <v>1</v>
      </c>
      <c r="C8">
        <v>2</v>
      </c>
      <c r="D8">
        <v>1</v>
      </c>
      <c r="E8" s="31" t="s">
        <v>114</v>
      </c>
      <c r="F8" t="str">
        <f>"("&amp;B8&amp;IF(C8&lt;&gt;""," THRU "&amp;C8,"")&amp;" = "&amp;D8&amp;") "</f>
        <v xml:space="preserve">(1 THRU 2 = 1) </v>
      </c>
      <c r="G8" t="str">
        <f>D8&amp;" '"&amp;E8&amp;"' "</f>
        <v xml:space="preserve">1 '1-2mal' </v>
      </c>
      <c r="H8" t="str">
        <f t="shared" ref="H8:I10" si="0">H7&amp;F8</f>
        <v xml:space="preserve">(1 THRU 2 = 1) </v>
      </c>
      <c r="I8" t="str">
        <f t="shared" si="0"/>
        <v xml:space="preserve">1 '1-2mal' </v>
      </c>
    </row>
    <row r="9" spans="1:9" x14ac:dyDescent="0.2">
      <c r="A9" s="2"/>
      <c r="B9">
        <v>3</v>
      </c>
      <c r="C9">
        <v>5</v>
      </c>
      <c r="D9">
        <v>2</v>
      </c>
      <c r="E9" s="31" t="s">
        <v>115</v>
      </c>
      <c r="F9" t="str">
        <f>"("&amp;B9&amp;IF(C9&lt;&gt;""," THRU "&amp;C9,"")&amp;" = "&amp;D9&amp;") "</f>
        <v xml:space="preserve">(3 THRU 5 = 2) </v>
      </c>
      <c r="G9" t="str">
        <f>D9&amp;" '"&amp;E9&amp;"' "</f>
        <v xml:space="preserve">2 '3-5mal' </v>
      </c>
      <c r="H9" t="str">
        <f t="shared" si="0"/>
        <v xml:space="preserve">(1 THRU 2 = 1) (3 THRU 5 = 2) </v>
      </c>
      <c r="I9" t="str">
        <f t="shared" si="0"/>
        <v xml:space="preserve">1 '1-2mal' 2 '3-5mal' </v>
      </c>
    </row>
    <row r="10" spans="1:9" x14ac:dyDescent="0.2">
      <c r="A10" s="2" t="s">
        <v>105</v>
      </c>
      <c r="B10">
        <v>6</v>
      </c>
      <c r="C10" s="31">
        <v>999999</v>
      </c>
      <c r="D10" s="31">
        <v>3</v>
      </c>
      <c r="E10" s="31" t="s">
        <v>116</v>
      </c>
      <c r="F10" t="str">
        <f>"("&amp;B10&amp;IF(C10&lt;&gt;""," THRU "&amp;C10,"")&amp;" = "&amp;D10&amp;") "</f>
        <v xml:space="preserve">(6 THRU 999999 = 3) </v>
      </c>
      <c r="G10" t="str">
        <f>D10&amp;" '"&amp;E10&amp;"' "</f>
        <v xml:space="preserve">3 '&gt;5mal' </v>
      </c>
      <c r="H10" t="str">
        <f t="shared" si="0"/>
        <v xml:space="preserve">(1 THRU 2 = 1) (3 THRU 5 = 2) (6 THRU 999999 = 3) </v>
      </c>
      <c r="I10" t="str">
        <f t="shared" si="0"/>
        <v xml:space="preserve">1 '1-2mal' 2 '3-5mal' 3 '&gt;5mal' </v>
      </c>
    </row>
    <row r="12" spans="1:9" x14ac:dyDescent="0.2">
      <c r="A12" s="2"/>
      <c r="B12" s="31"/>
      <c r="C12" s="31"/>
    </row>
    <row r="13" spans="1:9" x14ac:dyDescent="0.2">
      <c r="A13" s="2"/>
    </row>
    <row r="14" spans="1:9" x14ac:dyDescent="0.2">
      <c r="A14" s="1" t="s">
        <v>112</v>
      </c>
      <c r="B14" s="31" t="s">
        <v>291</v>
      </c>
      <c r="C14" s="31" t="s">
        <v>326</v>
      </c>
      <c r="D14" s="31" t="s">
        <v>118</v>
      </c>
    </row>
    <row r="15" spans="1:9" x14ac:dyDescent="0.2">
      <c r="A15" s="2"/>
      <c r="B15">
        <v>18</v>
      </c>
      <c r="C15">
        <v>39</v>
      </c>
      <c r="D15">
        <v>1</v>
      </c>
      <c r="E15" s="21" t="s">
        <v>119</v>
      </c>
      <c r="F15" t="str">
        <f>"("&amp;B15&amp;IF(C15&lt;&gt;""," THRU "&amp;C15,"")&amp;" = "&amp;D15&amp;") "</f>
        <v xml:space="preserve">(18 THRU 39 = 1) </v>
      </c>
      <c r="G15" t="str">
        <f>D15&amp;" '"&amp;E15&amp;"' "</f>
        <v xml:space="preserve">1 '18 bis 39' </v>
      </c>
      <c r="H15" t="str">
        <f t="shared" ref="H15:I17" si="1">H14&amp;F15</f>
        <v xml:space="preserve">(18 THRU 39 = 1) </v>
      </c>
      <c r="I15" t="str">
        <f t="shared" si="1"/>
        <v xml:space="preserve">1 '18 bis 39' </v>
      </c>
    </row>
    <row r="16" spans="1:9" x14ac:dyDescent="0.2">
      <c r="A16" s="2"/>
      <c r="B16">
        <v>40</v>
      </c>
      <c r="C16">
        <v>49</v>
      </c>
      <c r="D16">
        <v>2</v>
      </c>
      <c r="E16" s="11" t="s">
        <v>120</v>
      </c>
      <c r="F16" t="str">
        <f>"("&amp;B16&amp;IF(C16&lt;&gt;""," THRU "&amp;C16,"")&amp;" = "&amp;D16&amp;") "</f>
        <v xml:space="preserve">(40 THRU 49 = 2) </v>
      </c>
      <c r="G16" t="str">
        <f>D16&amp;" '"&amp;E16&amp;"' "</f>
        <v xml:space="preserve">2 '40 bis 49' </v>
      </c>
      <c r="H16" t="str">
        <f t="shared" si="1"/>
        <v xml:space="preserve">(18 THRU 39 = 1) (40 THRU 49 = 2) </v>
      </c>
      <c r="I16" t="str">
        <f t="shared" si="1"/>
        <v xml:space="preserve">1 '18 bis 39' 2 '40 bis 49' </v>
      </c>
    </row>
    <row r="17" spans="1:9" x14ac:dyDescent="0.2">
      <c r="A17" s="2" t="s">
        <v>105</v>
      </c>
      <c r="B17">
        <v>50</v>
      </c>
      <c r="C17">
        <v>97</v>
      </c>
      <c r="D17">
        <v>3</v>
      </c>
      <c r="E17" s="11" t="s">
        <v>121</v>
      </c>
      <c r="F17" t="str">
        <f>"("&amp;B17&amp;IF(C17&lt;&gt;""," THRU "&amp;C17,"")&amp;" = "&amp;D17&amp;") "</f>
        <v xml:space="preserve">(50 THRU 97 = 3) </v>
      </c>
      <c r="G17" t="str">
        <f>D17&amp;" '"&amp;E17&amp;"' "</f>
        <v xml:space="preserve">3 '50 und älter' </v>
      </c>
      <c r="H17" t="str">
        <f t="shared" si="1"/>
        <v xml:space="preserve">(18 THRU 39 = 1) (40 THRU 49 = 2) (50 THRU 97 = 3) </v>
      </c>
      <c r="I17" t="str">
        <f t="shared" si="1"/>
        <v xml:space="preserve">1 '18 bis 39' 2 '40 bis 49' 3 '50 und älter' </v>
      </c>
    </row>
    <row r="18" spans="1:9" x14ac:dyDescent="0.2">
      <c r="A18" s="2"/>
      <c r="E18" s="11"/>
    </row>
    <row r="19" spans="1:9" x14ac:dyDescent="0.2">
      <c r="A19" s="2" t="s">
        <v>117</v>
      </c>
      <c r="B19" s="31" t="s">
        <v>158</v>
      </c>
      <c r="C19" s="31" t="s">
        <v>326</v>
      </c>
    </row>
    <row r="20" spans="1:9" x14ac:dyDescent="0.2">
      <c r="A20" s="2" t="s">
        <v>117</v>
      </c>
      <c r="B20" s="31" t="s">
        <v>158</v>
      </c>
      <c r="C20" s="31" t="s">
        <v>122</v>
      </c>
    </row>
    <row r="21" spans="1:9" x14ac:dyDescent="0.2">
      <c r="A21" s="2"/>
    </row>
    <row r="24" spans="1:9" x14ac:dyDescent="0.2">
      <c r="A24" s="2"/>
    </row>
    <row r="28" spans="1:9" x14ac:dyDescent="0.2">
      <c r="A28" s="2"/>
    </row>
    <row r="29" spans="1:9" x14ac:dyDescent="0.2">
      <c r="A29" s="2" t="s">
        <v>112</v>
      </c>
      <c r="B29" s="2" t="s">
        <v>124</v>
      </c>
      <c r="C29" s="2"/>
    </row>
    <row r="30" spans="1:9" x14ac:dyDescent="0.2">
      <c r="A30" s="2"/>
      <c r="B30">
        <v>34</v>
      </c>
      <c r="D30">
        <v>1</v>
      </c>
      <c r="E30" s="31"/>
    </row>
    <row r="31" spans="1:9" x14ac:dyDescent="0.2">
      <c r="A31" s="2"/>
      <c r="B31">
        <v>14</v>
      </c>
      <c r="D31" s="2">
        <v>2</v>
      </c>
      <c r="E31" s="31"/>
    </row>
    <row r="32" spans="1:9" x14ac:dyDescent="0.2">
      <c r="B32">
        <v>32</v>
      </c>
      <c r="D32">
        <v>3</v>
      </c>
      <c r="E32" s="31"/>
    </row>
    <row r="33" spans="1:6" x14ac:dyDescent="0.2">
      <c r="B33">
        <v>7</v>
      </c>
      <c r="C33">
        <v>20</v>
      </c>
      <c r="D33">
        <v>4</v>
      </c>
      <c r="E33" s="31"/>
    </row>
    <row r="34" spans="1:6" x14ac:dyDescent="0.2">
      <c r="B34">
        <v>21</v>
      </c>
      <c r="C34">
        <v>30</v>
      </c>
      <c r="D34">
        <v>5</v>
      </c>
      <c r="E34" s="31"/>
    </row>
    <row r="35" spans="1:6" x14ac:dyDescent="0.2">
      <c r="B35">
        <v>31</v>
      </c>
      <c r="C35">
        <v>97</v>
      </c>
      <c r="D35">
        <v>6</v>
      </c>
      <c r="E35" s="31"/>
    </row>
    <row r="36" spans="1:6" x14ac:dyDescent="0.2">
      <c r="A36" s="2" t="s">
        <v>105</v>
      </c>
      <c r="B36">
        <v>99</v>
      </c>
      <c r="C36" s="31"/>
      <c r="D36">
        <v>7</v>
      </c>
      <c r="E36" s="31"/>
    </row>
    <row r="38" spans="1:6" x14ac:dyDescent="0.2">
      <c r="A38" s="2" t="s">
        <v>109</v>
      </c>
      <c r="B38" s="31" t="s">
        <v>126</v>
      </c>
      <c r="C38" s="31">
        <v>1</v>
      </c>
    </row>
    <row r="39" spans="1:6" x14ac:dyDescent="0.2">
      <c r="A39" s="2" t="s">
        <v>123</v>
      </c>
      <c r="B39" s="31" t="s">
        <v>348</v>
      </c>
      <c r="C39" s="31" t="s">
        <v>134</v>
      </c>
    </row>
    <row r="40" spans="1:6" x14ac:dyDescent="0.2">
      <c r="A40" s="2" t="s">
        <v>123</v>
      </c>
      <c r="B40" s="31" t="s">
        <v>349</v>
      </c>
      <c r="C40" s="31" t="s">
        <v>135</v>
      </c>
    </row>
    <row r="41" spans="1:6" x14ac:dyDescent="0.2">
      <c r="A41" s="2"/>
    </row>
    <row r="42" spans="1:6" x14ac:dyDescent="0.2">
      <c r="A42" s="2"/>
    </row>
    <row r="43" spans="1:6" x14ac:dyDescent="0.2">
      <c r="F43" s="31"/>
    </row>
  </sheetData>
  <sortState xmlns:xlrd2="http://schemas.microsoft.com/office/spreadsheetml/2017/richdata2" ref="A2:A26">
    <sortCondition ref="A2"/>
  </sortState>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Drop Down 1">
              <controlPr defaultSize="0" autoLine="0" autoPict="0" macro="[1]!TemplateFill">
                <anchor moveWithCells="1">
                  <from>
                    <xdr:col>1</xdr:col>
                    <xdr:colOff>200025</xdr:colOff>
                    <xdr:row>0</xdr:row>
                    <xdr:rowOff>47625</xdr:rowOff>
                  </from>
                  <to>
                    <xdr:col>3</xdr:col>
                    <xdr:colOff>200025</xdr:colOff>
                    <xdr:row>0</xdr:row>
                    <xdr:rowOff>228600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21"/>
  <dimension ref="A1:E273"/>
  <sheetViews>
    <sheetView zoomScaleNormal="100" workbookViewId="0">
      <pane ySplit="1" topLeftCell="A248" activePane="bottomLeft" state="frozen"/>
      <selection pane="bottomLeft" activeCell="I273" sqref="I273"/>
    </sheetView>
  </sheetViews>
  <sheetFormatPr baseColWidth="10" defaultColWidth="11.42578125" defaultRowHeight="12.75" x14ac:dyDescent="0.2"/>
  <cols>
    <col min="1" max="1" width="19.140625" style="1" customWidth="1"/>
    <col min="2" max="2" width="32.42578125" customWidth="1"/>
  </cols>
  <sheetData>
    <row r="1" spans="1:5" ht="21.75" customHeight="1" x14ac:dyDescent="0.2">
      <c r="A1" s="30"/>
    </row>
    <row r="6" spans="1:5" x14ac:dyDescent="0.2">
      <c r="A6" s="2" t="s">
        <v>109</v>
      </c>
      <c r="B6" s="31" t="s">
        <v>293</v>
      </c>
      <c r="C6">
        <v>-2</v>
      </c>
      <c r="E6" t="s">
        <v>294</v>
      </c>
    </row>
    <row r="7" spans="1:5" x14ac:dyDescent="0.2">
      <c r="E7" t="s">
        <v>295</v>
      </c>
    </row>
    <row r="8" spans="1:5" x14ac:dyDescent="0.2">
      <c r="E8" t="s">
        <v>296</v>
      </c>
    </row>
    <row r="9" spans="1:5" x14ac:dyDescent="0.2">
      <c r="E9" t="s">
        <v>297</v>
      </c>
    </row>
    <row r="10" spans="1:5" x14ac:dyDescent="0.2">
      <c r="E10" t="s">
        <v>298</v>
      </c>
    </row>
    <row r="20" spans="1:3" x14ac:dyDescent="0.2">
      <c r="A20" s="2" t="s">
        <v>123</v>
      </c>
      <c r="B20" t="s">
        <v>159</v>
      </c>
      <c r="C20" t="s">
        <v>299</v>
      </c>
    </row>
    <row r="21" spans="1:3" x14ac:dyDescent="0.2">
      <c r="A21" s="2" t="s">
        <v>123</v>
      </c>
      <c r="B21" t="s">
        <v>160</v>
      </c>
      <c r="C21" t="s">
        <v>300</v>
      </c>
    </row>
    <row r="22" spans="1:3" x14ac:dyDescent="0.2">
      <c r="A22" s="2" t="s">
        <v>123</v>
      </c>
      <c r="B22" t="s">
        <v>161</v>
      </c>
      <c r="C22" t="s">
        <v>301</v>
      </c>
    </row>
    <row r="23" spans="1:3" x14ac:dyDescent="0.2">
      <c r="A23" s="2" t="s">
        <v>123</v>
      </c>
      <c r="B23" t="s">
        <v>162</v>
      </c>
      <c r="C23" t="s">
        <v>301</v>
      </c>
    </row>
    <row r="24" spans="1:3" x14ac:dyDescent="0.2">
      <c r="A24" s="2" t="s">
        <v>123</v>
      </c>
      <c r="B24" t="s">
        <v>163</v>
      </c>
      <c r="C24" t="s">
        <v>302</v>
      </c>
    </row>
    <row r="25" spans="1:3" x14ac:dyDescent="0.2">
      <c r="A25" s="2" t="s">
        <v>123</v>
      </c>
      <c r="B25" t="s">
        <v>164</v>
      </c>
      <c r="C25" t="s">
        <v>303</v>
      </c>
    </row>
    <row r="26" spans="1:3" x14ac:dyDescent="0.2">
      <c r="A26" s="2" t="s">
        <v>123</v>
      </c>
      <c r="B26" t="s">
        <v>165</v>
      </c>
      <c r="C26" t="s">
        <v>300</v>
      </c>
    </row>
    <row r="27" spans="1:3" x14ac:dyDescent="0.2">
      <c r="A27" s="2" t="s">
        <v>123</v>
      </c>
      <c r="B27" t="s">
        <v>166</v>
      </c>
      <c r="C27" t="s">
        <v>303</v>
      </c>
    </row>
    <row r="28" spans="1:3" x14ac:dyDescent="0.2">
      <c r="A28" s="2" t="s">
        <v>123</v>
      </c>
      <c r="B28" t="s">
        <v>167</v>
      </c>
      <c r="C28" t="s">
        <v>304</v>
      </c>
    </row>
    <row r="29" spans="1:3" x14ac:dyDescent="0.2">
      <c r="A29" s="2" t="s">
        <v>123</v>
      </c>
      <c r="B29" t="s">
        <v>168</v>
      </c>
      <c r="C29" t="s">
        <v>305</v>
      </c>
    </row>
    <row r="30" spans="1:3" x14ac:dyDescent="0.2">
      <c r="A30" s="2" t="s">
        <v>123</v>
      </c>
      <c r="B30" t="s">
        <v>169</v>
      </c>
      <c r="C30" t="s">
        <v>305</v>
      </c>
    </row>
    <row r="31" spans="1:3" x14ac:dyDescent="0.2">
      <c r="A31" s="2" t="s">
        <v>123</v>
      </c>
      <c r="B31" t="s">
        <v>170</v>
      </c>
      <c r="C31" t="s">
        <v>300</v>
      </c>
    </row>
    <row r="32" spans="1:3" x14ac:dyDescent="0.2">
      <c r="A32" s="2" t="s">
        <v>123</v>
      </c>
      <c r="B32" t="s">
        <v>171</v>
      </c>
      <c r="C32" t="s">
        <v>300</v>
      </c>
    </row>
    <row r="33" spans="1:3" x14ac:dyDescent="0.2">
      <c r="A33" s="2" t="s">
        <v>123</v>
      </c>
      <c r="B33" t="s">
        <v>172</v>
      </c>
      <c r="C33" t="s">
        <v>306</v>
      </c>
    </row>
    <row r="34" spans="1:3" x14ac:dyDescent="0.2">
      <c r="A34" s="2" t="s">
        <v>123</v>
      </c>
      <c r="B34" t="s">
        <v>173</v>
      </c>
      <c r="C34" t="s">
        <v>304</v>
      </c>
    </row>
    <row r="35" spans="1:3" x14ac:dyDescent="0.2">
      <c r="A35" s="2" t="s">
        <v>123</v>
      </c>
      <c r="B35" t="s">
        <v>174</v>
      </c>
      <c r="C35" t="s">
        <v>305</v>
      </c>
    </row>
    <row r="36" spans="1:3" x14ac:dyDescent="0.2">
      <c r="A36" s="2" t="s">
        <v>123</v>
      </c>
      <c r="B36" t="s">
        <v>175</v>
      </c>
      <c r="C36" t="s">
        <v>305</v>
      </c>
    </row>
    <row r="37" spans="1:3" x14ac:dyDescent="0.2">
      <c r="A37" s="2" t="s">
        <v>123</v>
      </c>
      <c r="B37" t="s">
        <v>176</v>
      </c>
      <c r="C37" t="s">
        <v>305</v>
      </c>
    </row>
    <row r="38" spans="1:3" x14ac:dyDescent="0.2">
      <c r="A38" s="2" t="s">
        <v>123</v>
      </c>
      <c r="B38" t="s">
        <v>177</v>
      </c>
      <c r="C38" t="s">
        <v>300</v>
      </c>
    </row>
    <row r="39" spans="1:3" x14ac:dyDescent="0.2">
      <c r="A39" s="2" t="s">
        <v>123</v>
      </c>
      <c r="B39" t="s">
        <v>178</v>
      </c>
      <c r="C39" t="s">
        <v>299</v>
      </c>
    </row>
    <row r="40" spans="1:3" x14ac:dyDescent="0.2">
      <c r="A40" s="2" t="s">
        <v>123</v>
      </c>
      <c r="B40" t="s">
        <v>179</v>
      </c>
      <c r="C40" t="s">
        <v>305</v>
      </c>
    </row>
    <row r="41" spans="1:3" x14ac:dyDescent="0.2">
      <c r="A41" s="2" t="s">
        <v>123</v>
      </c>
      <c r="B41" t="s">
        <v>180</v>
      </c>
      <c r="C41" t="s">
        <v>305</v>
      </c>
    </row>
    <row r="42" spans="1:3" x14ac:dyDescent="0.2">
      <c r="A42" s="2" t="s">
        <v>123</v>
      </c>
      <c r="B42" t="s">
        <v>181</v>
      </c>
      <c r="C42" t="s">
        <v>305</v>
      </c>
    </row>
    <row r="43" spans="1:3" x14ac:dyDescent="0.2">
      <c r="A43" s="2" t="s">
        <v>123</v>
      </c>
      <c r="B43" t="s">
        <v>182</v>
      </c>
      <c r="C43" t="s">
        <v>303</v>
      </c>
    </row>
    <row r="44" spans="1:3" x14ac:dyDescent="0.2">
      <c r="A44" s="2" t="s">
        <v>123</v>
      </c>
      <c r="B44" t="s">
        <v>183</v>
      </c>
      <c r="C44" t="s">
        <v>303</v>
      </c>
    </row>
    <row r="45" spans="1:3" x14ac:dyDescent="0.2">
      <c r="A45" s="2" t="s">
        <v>123</v>
      </c>
      <c r="B45" t="s">
        <v>184</v>
      </c>
      <c r="C45" t="s">
        <v>306</v>
      </c>
    </row>
    <row r="46" spans="1:3" x14ac:dyDescent="0.2">
      <c r="A46" s="2" t="s">
        <v>123</v>
      </c>
      <c r="B46" t="s">
        <v>185</v>
      </c>
      <c r="C46" t="s">
        <v>304</v>
      </c>
    </row>
    <row r="47" spans="1:3" x14ac:dyDescent="0.2">
      <c r="A47" s="2" t="s">
        <v>123</v>
      </c>
      <c r="B47" t="s">
        <v>186</v>
      </c>
      <c r="C47" t="s">
        <v>303</v>
      </c>
    </row>
    <row r="48" spans="1:3" x14ac:dyDescent="0.2">
      <c r="A48" s="2" t="s">
        <v>123</v>
      </c>
      <c r="B48" t="s">
        <v>187</v>
      </c>
      <c r="C48" t="s">
        <v>303</v>
      </c>
    </row>
    <row r="49" spans="1:3" x14ac:dyDescent="0.2">
      <c r="A49" s="2" t="s">
        <v>123</v>
      </c>
      <c r="B49" t="s">
        <v>188</v>
      </c>
      <c r="C49" t="s">
        <v>303</v>
      </c>
    </row>
    <row r="50" spans="1:3" x14ac:dyDescent="0.2">
      <c r="A50" s="2" t="s">
        <v>123</v>
      </c>
      <c r="B50" t="s">
        <v>189</v>
      </c>
      <c r="C50" t="s">
        <v>306</v>
      </c>
    </row>
    <row r="51" spans="1:3" x14ac:dyDescent="0.2">
      <c r="A51" s="2" t="s">
        <v>123</v>
      </c>
      <c r="B51" t="s">
        <v>190</v>
      </c>
      <c r="C51" t="s">
        <v>300</v>
      </c>
    </row>
    <row r="52" spans="1:3" x14ac:dyDescent="0.2">
      <c r="A52" s="2" t="s">
        <v>123</v>
      </c>
      <c r="B52" t="s">
        <v>191</v>
      </c>
      <c r="C52" t="s">
        <v>305</v>
      </c>
    </row>
    <row r="53" spans="1:3" x14ac:dyDescent="0.2">
      <c r="A53" s="2" t="s">
        <v>123</v>
      </c>
      <c r="B53" t="s">
        <v>192</v>
      </c>
      <c r="C53" t="s">
        <v>305</v>
      </c>
    </row>
    <row r="54" spans="1:3" x14ac:dyDescent="0.2">
      <c r="A54" s="2" t="s">
        <v>123</v>
      </c>
      <c r="B54" t="s">
        <v>193</v>
      </c>
      <c r="C54" t="s">
        <v>303</v>
      </c>
    </row>
    <row r="55" spans="1:3" x14ac:dyDescent="0.2">
      <c r="A55" s="2" t="s">
        <v>123</v>
      </c>
      <c r="B55" t="s">
        <v>194</v>
      </c>
      <c r="C55" t="s">
        <v>305</v>
      </c>
    </row>
    <row r="56" spans="1:3" x14ac:dyDescent="0.2">
      <c r="A56" s="2" t="s">
        <v>123</v>
      </c>
      <c r="B56" t="s">
        <v>195</v>
      </c>
      <c r="C56" t="s">
        <v>305</v>
      </c>
    </row>
    <row r="57" spans="1:3" x14ac:dyDescent="0.2">
      <c r="A57" s="2" t="s">
        <v>123</v>
      </c>
      <c r="B57" t="s">
        <v>196</v>
      </c>
      <c r="C57" t="s">
        <v>303</v>
      </c>
    </row>
    <row r="58" spans="1:3" x14ac:dyDescent="0.2">
      <c r="A58" s="2" t="s">
        <v>123</v>
      </c>
      <c r="B58" t="s">
        <v>197</v>
      </c>
      <c r="C58" t="s">
        <v>303</v>
      </c>
    </row>
    <row r="59" spans="1:3" x14ac:dyDescent="0.2">
      <c r="A59" s="2" t="s">
        <v>123</v>
      </c>
      <c r="B59" t="s">
        <v>198</v>
      </c>
      <c r="C59" t="s">
        <v>305</v>
      </c>
    </row>
    <row r="60" spans="1:3" x14ac:dyDescent="0.2">
      <c r="A60" s="2" t="s">
        <v>123</v>
      </c>
      <c r="B60" t="s">
        <v>199</v>
      </c>
      <c r="C60" t="s">
        <v>305</v>
      </c>
    </row>
    <row r="61" spans="1:3" x14ac:dyDescent="0.2">
      <c r="A61" s="2" t="s">
        <v>123</v>
      </c>
      <c r="B61" t="s">
        <v>200</v>
      </c>
      <c r="C61" t="s">
        <v>305</v>
      </c>
    </row>
    <row r="62" spans="1:3" x14ac:dyDescent="0.2">
      <c r="A62" s="2" t="s">
        <v>123</v>
      </c>
      <c r="B62" t="s">
        <v>201</v>
      </c>
      <c r="C62" t="s">
        <v>305</v>
      </c>
    </row>
    <row r="63" spans="1:3" x14ac:dyDescent="0.2">
      <c r="A63" s="2" t="s">
        <v>123</v>
      </c>
      <c r="B63" t="s">
        <v>202</v>
      </c>
      <c r="C63" t="s">
        <v>304</v>
      </c>
    </row>
    <row r="64" spans="1:3" x14ac:dyDescent="0.2">
      <c r="A64" s="2" t="s">
        <v>123</v>
      </c>
      <c r="B64" t="s">
        <v>203</v>
      </c>
      <c r="C64" t="s">
        <v>305</v>
      </c>
    </row>
    <row r="65" spans="1:3" x14ac:dyDescent="0.2">
      <c r="A65" s="2" t="s">
        <v>123</v>
      </c>
      <c r="B65" t="s">
        <v>204</v>
      </c>
      <c r="C65" t="s">
        <v>305</v>
      </c>
    </row>
    <row r="66" spans="1:3" x14ac:dyDescent="0.2">
      <c r="A66" s="2" t="s">
        <v>123</v>
      </c>
      <c r="B66" t="s">
        <v>205</v>
      </c>
      <c r="C66" t="s">
        <v>304</v>
      </c>
    </row>
    <row r="67" spans="1:3" x14ac:dyDescent="0.2">
      <c r="A67" s="2" t="s">
        <v>123</v>
      </c>
      <c r="B67" t="s">
        <v>206</v>
      </c>
      <c r="C67" t="s">
        <v>304</v>
      </c>
    </row>
    <row r="68" spans="1:3" x14ac:dyDescent="0.2">
      <c r="A68" s="2" t="s">
        <v>123</v>
      </c>
      <c r="B68" t="s">
        <v>207</v>
      </c>
      <c r="C68" t="s">
        <v>304</v>
      </c>
    </row>
    <row r="69" spans="1:3" x14ac:dyDescent="0.2">
      <c r="A69" s="2" t="s">
        <v>123</v>
      </c>
      <c r="B69" t="s">
        <v>208</v>
      </c>
      <c r="C69" t="s">
        <v>302</v>
      </c>
    </row>
    <row r="70" spans="1:3" x14ac:dyDescent="0.2">
      <c r="A70" s="2" t="s">
        <v>123</v>
      </c>
      <c r="B70" t="s">
        <v>209</v>
      </c>
      <c r="C70" t="s">
        <v>299</v>
      </c>
    </row>
    <row r="71" spans="1:3" x14ac:dyDescent="0.2">
      <c r="A71" s="2" t="s">
        <v>123</v>
      </c>
      <c r="B71" t="s">
        <v>210</v>
      </c>
      <c r="C71" t="s">
        <v>301</v>
      </c>
    </row>
    <row r="72" spans="1:3" x14ac:dyDescent="0.2">
      <c r="A72" s="2" t="s">
        <v>123</v>
      </c>
      <c r="B72" t="s">
        <v>211</v>
      </c>
      <c r="C72" t="s">
        <v>301</v>
      </c>
    </row>
    <row r="73" spans="1:3" x14ac:dyDescent="0.2">
      <c r="A73" s="2" t="s">
        <v>123</v>
      </c>
      <c r="B73" t="s">
        <v>212</v>
      </c>
      <c r="C73" t="s">
        <v>303</v>
      </c>
    </row>
    <row r="74" spans="1:3" x14ac:dyDescent="0.2">
      <c r="A74" s="2" t="s">
        <v>123</v>
      </c>
      <c r="B74" t="s">
        <v>213</v>
      </c>
      <c r="C74" t="s">
        <v>301</v>
      </c>
    </row>
    <row r="75" spans="1:3" x14ac:dyDescent="0.2">
      <c r="A75" s="2" t="s">
        <v>123</v>
      </c>
      <c r="B75" t="s">
        <v>214</v>
      </c>
      <c r="C75" t="s">
        <v>301</v>
      </c>
    </row>
    <row r="76" spans="1:3" x14ac:dyDescent="0.2">
      <c r="A76" s="2" t="s">
        <v>123</v>
      </c>
      <c r="B76" t="s">
        <v>215</v>
      </c>
      <c r="C76" t="s">
        <v>305</v>
      </c>
    </row>
    <row r="77" spans="1:3" x14ac:dyDescent="0.2">
      <c r="A77" s="2" t="s">
        <v>123</v>
      </c>
      <c r="B77" t="s">
        <v>216</v>
      </c>
      <c r="C77" t="s">
        <v>305</v>
      </c>
    </row>
    <row r="78" spans="1:3" x14ac:dyDescent="0.2">
      <c r="A78" s="2" t="s">
        <v>123</v>
      </c>
      <c r="B78" t="s">
        <v>217</v>
      </c>
      <c r="C78" t="s">
        <v>304</v>
      </c>
    </row>
    <row r="79" spans="1:3" x14ac:dyDescent="0.2">
      <c r="A79" s="2" t="s">
        <v>123</v>
      </c>
      <c r="B79" t="s">
        <v>218</v>
      </c>
      <c r="C79" t="s">
        <v>303</v>
      </c>
    </row>
    <row r="80" spans="1:3" x14ac:dyDescent="0.2">
      <c r="A80" s="2" t="s">
        <v>123</v>
      </c>
      <c r="B80" t="s">
        <v>219</v>
      </c>
      <c r="C80" t="s">
        <v>303</v>
      </c>
    </row>
    <row r="81" spans="1:3" x14ac:dyDescent="0.2">
      <c r="A81" s="2" t="s">
        <v>123</v>
      </c>
      <c r="B81" t="s">
        <v>220</v>
      </c>
      <c r="C81" t="s">
        <v>305</v>
      </c>
    </row>
    <row r="82" spans="1:3" x14ac:dyDescent="0.2">
      <c r="A82" s="2" t="s">
        <v>123</v>
      </c>
      <c r="B82" t="s">
        <v>221</v>
      </c>
      <c r="C82" t="s">
        <v>303</v>
      </c>
    </row>
    <row r="83" spans="1:3" x14ac:dyDescent="0.2">
      <c r="A83" s="2" t="s">
        <v>123</v>
      </c>
      <c r="B83" t="s">
        <v>222</v>
      </c>
      <c r="C83" t="s">
        <v>305</v>
      </c>
    </row>
    <row r="84" spans="1:3" x14ac:dyDescent="0.2">
      <c r="A84" s="2" t="s">
        <v>123</v>
      </c>
      <c r="B84" t="s">
        <v>223</v>
      </c>
      <c r="C84" t="s">
        <v>299</v>
      </c>
    </row>
    <row r="85" spans="1:3" x14ac:dyDescent="0.2">
      <c r="A85" s="2" t="s">
        <v>123</v>
      </c>
      <c r="B85" t="s">
        <v>224</v>
      </c>
      <c r="C85" t="s">
        <v>307</v>
      </c>
    </row>
    <row r="86" spans="1:3" x14ac:dyDescent="0.2">
      <c r="A86" s="2" t="s">
        <v>123</v>
      </c>
      <c r="B86" t="s">
        <v>225</v>
      </c>
      <c r="C86" t="s">
        <v>300</v>
      </c>
    </row>
    <row r="87" spans="1:3" x14ac:dyDescent="0.2">
      <c r="A87" s="2" t="s">
        <v>123</v>
      </c>
      <c r="B87" t="s">
        <v>226</v>
      </c>
      <c r="C87" t="s">
        <v>302</v>
      </c>
    </row>
    <row r="88" spans="1:3" x14ac:dyDescent="0.2">
      <c r="A88" s="2" t="s">
        <v>123</v>
      </c>
      <c r="B88" t="s">
        <v>227</v>
      </c>
      <c r="C88" t="s">
        <v>300</v>
      </c>
    </row>
    <row r="89" spans="1:3" x14ac:dyDescent="0.2">
      <c r="A89" s="2" t="s">
        <v>123</v>
      </c>
      <c r="B89" t="s">
        <v>228</v>
      </c>
      <c r="C89" t="s">
        <v>304</v>
      </c>
    </row>
    <row r="90" spans="1:3" x14ac:dyDescent="0.2">
      <c r="A90" s="2" t="s">
        <v>123</v>
      </c>
      <c r="B90" t="s">
        <v>229</v>
      </c>
      <c r="C90" t="s">
        <v>300</v>
      </c>
    </row>
    <row r="91" spans="1:3" x14ac:dyDescent="0.2">
      <c r="A91" s="2" t="s">
        <v>123</v>
      </c>
      <c r="B91" t="s">
        <v>230</v>
      </c>
      <c r="C91" t="s">
        <v>300</v>
      </c>
    </row>
    <row r="92" spans="1:3" x14ac:dyDescent="0.2">
      <c r="A92" s="2" t="s">
        <v>123</v>
      </c>
      <c r="B92" t="s">
        <v>231</v>
      </c>
      <c r="C92" t="s">
        <v>300</v>
      </c>
    </row>
    <row r="93" spans="1:3" x14ac:dyDescent="0.2">
      <c r="A93" s="2" t="s">
        <v>123</v>
      </c>
      <c r="B93" t="s">
        <v>232</v>
      </c>
      <c r="C93" t="s">
        <v>303</v>
      </c>
    </row>
    <row r="94" spans="1:3" x14ac:dyDescent="0.2">
      <c r="A94" s="2" t="s">
        <v>123</v>
      </c>
      <c r="B94" t="s">
        <v>233</v>
      </c>
      <c r="C94" t="s">
        <v>301</v>
      </c>
    </row>
    <row r="95" spans="1:3" x14ac:dyDescent="0.2">
      <c r="A95" s="2" t="s">
        <v>123</v>
      </c>
      <c r="B95" t="s">
        <v>234</v>
      </c>
      <c r="C95" t="s">
        <v>303</v>
      </c>
    </row>
    <row r="96" spans="1:3" x14ac:dyDescent="0.2">
      <c r="A96" s="2" t="s">
        <v>123</v>
      </c>
      <c r="B96" t="s">
        <v>235</v>
      </c>
      <c r="C96" t="s">
        <v>304</v>
      </c>
    </row>
    <row r="97" spans="1:3" x14ac:dyDescent="0.2">
      <c r="A97" s="2" t="s">
        <v>123</v>
      </c>
      <c r="B97" t="s">
        <v>236</v>
      </c>
      <c r="C97" t="s">
        <v>301</v>
      </c>
    </row>
    <row r="98" spans="1:3" x14ac:dyDescent="0.2">
      <c r="A98" s="2" t="s">
        <v>123</v>
      </c>
      <c r="B98" t="s">
        <v>237</v>
      </c>
      <c r="C98" t="s">
        <v>303</v>
      </c>
    </row>
    <row r="99" spans="1:3" x14ac:dyDescent="0.2">
      <c r="A99" s="2" t="s">
        <v>123</v>
      </c>
      <c r="B99" t="s">
        <v>238</v>
      </c>
      <c r="C99" t="s">
        <v>306</v>
      </c>
    </row>
    <row r="100" spans="1:3" x14ac:dyDescent="0.2">
      <c r="A100" s="2" t="s">
        <v>123</v>
      </c>
      <c r="B100" t="s">
        <v>239</v>
      </c>
      <c r="C100" t="s">
        <v>305</v>
      </c>
    </row>
    <row r="101" spans="1:3" x14ac:dyDescent="0.2">
      <c r="A101" s="2" t="s">
        <v>123</v>
      </c>
      <c r="B101" t="s">
        <v>240</v>
      </c>
      <c r="C101" t="s">
        <v>300</v>
      </c>
    </row>
    <row r="102" spans="1:3" x14ac:dyDescent="0.2">
      <c r="A102" s="2" t="s">
        <v>123</v>
      </c>
      <c r="B102" t="s">
        <v>241</v>
      </c>
      <c r="C102" t="s">
        <v>301</v>
      </c>
    </row>
    <row r="103" spans="1:3" x14ac:dyDescent="0.2">
      <c r="A103" s="2" t="s">
        <v>123</v>
      </c>
      <c r="B103" t="s">
        <v>242</v>
      </c>
      <c r="C103" t="s">
        <v>303</v>
      </c>
    </row>
    <row r="104" spans="1:3" x14ac:dyDescent="0.2">
      <c r="A104" s="2" t="s">
        <v>123</v>
      </c>
      <c r="B104" t="s">
        <v>243</v>
      </c>
      <c r="C104" t="s">
        <v>299</v>
      </c>
    </row>
    <row r="105" spans="1:3" x14ac:dyDescent="0.2">
      <c r="A105" s="2" t="s">
        <v>123</v>
      </c>
      <c r="B105" t="s">
        <v>244</v>
      </c>
      <c r="C105" t="s">
        <v>299</v>
      </c>
    </row>
    <row r="106" spans="1:3" x14ac:dyDescent="0.2">
      <c r="A106" s="2" t="s">
        <v>123</v>
      </c>
      <c r="B106" t="s">
        <v>245</v>
      </c>
      <c r="C106" t="s">
        <v>300</v>
      </c>
    </row>
    <row r="107" spans="1:3" x14ac:dyDescent="0.2">
      <c r="A107" s="2" t="s">
        <v>123</v>
      </c>
      <c r="B107" t="s">
        <v>246</v>
      </c>
      <c r="C107" t="s">
        <v>303</v>
      </c>
    </row>
    <row r="108" spans="1:3" x14ac:dyDescent="0.2">
      <c r="A108" s="2" t="s">
        <v>123</v>
      </c>
      <c r="B108" t="s">
        <v>247</v>
      </c>
      <c r="C108" t="s">
        <v>301</v>
      </c>
    </row>
    <row r="109" spans="1:3" x14ac:dyDescent="0.2">
      <c r="A109" s="2" t="s">
        <v>123</v>
      </c>
      <c r="B109" t="s">
        <v>248</v>
      </c>
      <c r="C109" t="s">
        <v>300</v>
      </c>
    </row>
    <row r="110" spans="1:3" x14ac:dyDescent="0.2">
      <c r="A110" s="2" t="s">
        <v>123</v>
      </c>
      <c r="B110" t="s">
        <v>249</v>
      </c>
      <c r="C110" t="s">
        <v>305</v>
      </c>
    </row>
    <row r="111" spans="1:3" x14ac:dyDescent="0.2">
      <c r="A111" s="2" t="s">
        <v>123</v>
      </c>
      <c r="B111" t="s">
        <v>250</v>
      </c>
      <c r="C111" t="s">
        <v>303</v>
      </c>
    </row>
    <row r="112" spans="1:3" x14ac:dyDescent="0.2">
      <c r="A112" s="2" t="s">
        <v>123</v>
      </c>
      <c r="B112" t="s">
        <v>251</v>
      </c>
      <c r="C112" t="s">
        <v>300</v>
      </c>
    </row>
    <row r="113" spans="1:3" x14ac:dyDescent="0.2">
      <c r="A113" s="2" t="s">
        <v>123</v>
      </c>
      <c r="B113" t="s">
        <v>252</v>
      </c>
      <c r="C113" t="s">
        <v>300</v>
      </c>
    </row>
    <row r="114" spans="1:3" x14ac:dyDescent="0.2">
      <c r="A114" s="2" t="s">
        <v>123</v>
      </c>
      <c r="B114" t="s">
        <v>253</v>
      </c>
      <c r="C114" t="s">
        <v>305</v>
      </c>
    </row>
    <row r="115" spans="1:3" x14ac:dyDescent="0.2">
      <c r="A115" s="2" t="s">
        <v>123</v>
      </c>
      <c r="B115" t="s">
        <v>254</v>
      </c>
      <c r="C115" t="s">
        <v>302</v>
      </c>
    </row>
    <row r="116" spans="1:3" x14ac:dyDescent="0.2">
      <c r="A116" s="2" t="s">
        <v>123</v>
      </c>
      <c r="B116" t="s">
        <v>255</v>
      </c>
      <c r="C116" t="s">
        <v>302</v>
      </c>
    </row>
    <row r="117" spans="1:3" x14ac:dyDescent="0.2">
      <c r="A117" s="2" t="s">
        <v>123</v>
      </c>
      <c r="B117" t="s">
        <v>256</v>
      </c>
      <c r="C117" t="s">
        <v>302</v>
      </c>
    </row>
    <row r="118" spans="1:3" x14ac:dyDescent="0.2">
      <c r="A118" s="2" t="s">
        <v>123</v>
      </c>
      <c r="B118" t="s">
        <v>257</v>
      </c>
      <c r="C118" t="s">
        <v>303</v>
      </c>
    </row>
    <row r="119" spans="1:3" x14ac:dyDescent="0.2">
      <c r="A119" s="2" t="s">
        <v>123</v>
      </c>
      <c r="B119" t="s">
        <v>258</v>
      </c>
      <c r="C119" t="s">
        <v>302</v>
      </c>
    </row>
    <row r="120" spans="1:3" x14ac:dyDescent="0.2">
      <c r="A120" s="2" t="s">
        <v>123</v>
      </c>
      <c r="B120" t="s">
        <v>259</v>
      </c>
      <c r="C120" t="s">
        <v>305</v>
      </c>
    </row>
    <row r="121" spans="1:3" x14ac:dyDescent="0.2">
      <c r="A121" s="2" t="s">
        <v>123</v>
      </c>
      <c r="B121" t="s">
        <v>260</v>
      </c>
      <c r="C121" t="s">
        <v>300</v>
      </c>
    </row>
    <row r="122" spans="1:3" x14ac:dyDescent="0.2">
      <c r="A122" s="2" t="s">
        <v>123</v>
      </c>
      <c r="B122" t="s">
        <v>261</v>
      </c>
      <c r="C122" t="s">
        <v>306</v>
      </c>
    </row>
    <row r="123" spans="1:3" x14ac:dyDescent="0.2">
      <c r="A123" s="2" t="s">
        <v>123</v>
      </c>
      <c r="B123" t="s">
        <v>262</v>
      </c>
      <c r="C123" t="s">
        <v>300</v>
      </c>
    </row>
    <row r="124" spans="1:3" x14ac:dyDescent="0.2">
      <c r="A124" s="2" t="s">
        <v>123</v>
      </c>
      <c r="B124" t="s">
        <v>263</v>
      </c>
      <c r="C124" t="s">
        <v>303</v>
      </c>
    </row>
    <row r="125" spans="1:3" x14ac:dyDescent="0.2">
      <c r="A125" s="2" t="s">
        <v>123</v>
      </c>
      <c r="B125" t="s">
        <v>264</v>
      </c>
      <c r="C125" t="s">
        <v>300</v>
      </c>
    </row>
    <row r="126" spans="1:3" x14ac:dyDescent="0.2">
      <c r="A126" s="2" t="s">
        <v>123</v>
      </c>
      <c r="B126" t="s">
        <v>265</v>
      </c>
      <c r="C126" t="s">
        <v>300</v>
      </c>
    </row>
    <row r="127" spans="1:3" x14ac:dyDescent="0.2">
      <c r="A127" s="2" t="s">
        <v>123</v>
      </c>
      <c r="B127" t="s">
        <v>266</v>
      </c>
      <c r="C127" t="s">
        <v>304</v>
      </c>
    </row>
    <row r="128" spans="1:3" x14ac:dyDescent="0.2">
      <c r="A128" s="2" t="s">
        <v>123</v>
      </c>
      <c r="B128" t="s">
        <v>267</v>
      </c>
      <c r="C128" t="s">
        <v>300</v>
      </c>
    </row>
    <row r="129" spans="1:3" x14ac:dyDescent="0.2">
      <c r="A129" s="2" t="s">
        <v>123</v>
      </c>
      <c r="B129" t="s">
        <v>268</v>
      </c>
      <c r="C129" t="s">
        <v>300</v>
      </c>
    </row>
    <row r="130" spans="1:3" x14ac:dyDescent="0.2">
      <c r="A130" s="2" t="s">
        <v>123</v>
      </c>
      <c r="B130" t="s">
        <v>269</v>
      </c>
      <c r="C130" t="s">
        <v>299</v>
      </c>
    </row>
    <row r="131" spans="1:3" x14ac:dyDescent="0.2">
      <c r="A131" s="2" t="s">
        <v>123</v>
      </c>
      <c r="B131" t="s">
        <v>270</v>
      </c>
      <c r="C131" t="s">
        <v>303</v>
      </c>
    </row>
    <row r="132" spans="1:3" x14ac:dyDescent="0.2">
      <c r="A132" s="2" t="s">
        <v>123</v>
      </c>
      <c r="B132" t="s">
        <v>271</v>
      </c>
      <c r="C132" t="s">
        <v>301</v>
      </c>
    </row>
    <row r="133" spans="1:3" x14ac:dyDescent="0.2">
      <c r="A133" s="2" t="s">
        <v>123</v>
      </c>
      <c r="B133" t="s">
        <v>272</v>
      </c>
      <c r="C133" t="s">
        <v>301</v>
      </c>
    </row>
    <row r="134" spans="1:3" x14ac:dyDescent="0.2">
      <c r="A134" s="2" t="s">
        <v>123</v>
      </c>
      <c r="B134" t="s">
        <v>273</v>
      </c>
      <c r="C134" t="s">
        <v>301</v>
      </c>
    </row>
    <row r="135" spans="1:3" x14ac:dyDescent="0.2">
      <c r="A135" s="2" t="s">
        <v>123</v>
      </c>
      <c r="B135" t="s">
        <v>274</v>
      </c>
      <c r="C135" t="s">
        <v>305</v>
      </c>
    </row>
    <row r="136" spans="1:3" x14ac:dyDescent="0.2">
      <c r="A136" s="2" t="s">
        <v>123</v>
      </c>
      <c r="B136" t="s">
        <v>275</v>
      </c>
      <c r="C136" t="s">
        <v>300</v>
      </c>
    </row>
    <row r="137" spans="1:3" x14ac:dyDescent="0.2">
      <c r="A137" s="2" t="s">
        <v>123</v>
      </c>
      <c r="B137" t="s">
        <v>276</v>
      </c>
      <c r="C137" t="s">
        <v>304</v>
      </c>
    </row>
    <row r="138" spans="1:3" x14ac:dyDescent="0.2">
      <c r="A138" s="2" t="s">
        <v>123</v>
      </c>
      <c r="B138" t="s">
        <v>277</v>
      </c>
      <c r="C138" t="s">
        <v>303</v>
      </c>
    </row>
    <row r="139" spans="1:3" x14ac:dyDescent="0.2">
      <c r="A139" s="2" t="s">
        <v>123</v>
      </c>
      <c r="B139" t="s">
        <v>278</v>
      </c>
      <c r="C139" t="s">
        <v>303</v>
      </c>
    </row>
    <row r="140" spans="1:3" x14ac:dyDescent="0.2">
      <c r="A140" s="2" t="s">
        <v>123</v>
      </c>
      <c r="B140" t="s">
        <v>279</v>
      </c>
      <c r="C140" t="s">
        <v>303</v>
      </c>
    </row>
    <row r="141" spans="1:3" x14ac:dyDescent="0.2">
      <c r="A141" s="2" t="s">
        <v>123</v>
      </c>
      <c r="B141" t="s">
        <v>280</v>
      </c>
      <c r="C141" t="s">
        <v>300</v>
      </c>
    </row>
    <row r="142" spans="1:3" x14ac:dyDescent="0.2">
      <c r="A142" s="2" t="s">
        <v>123</v>
      </c>
      <c r="B142" t="s">
        <v>281</v>
      </c>
      <c r="C142" t="s">
        <v>305</v>
      </c>
    </row>
    <row r="143" spans="1:3" x14ac:dyDescent="0.2">
      <c r="A143" s="2" t="s">
        <v>123</v>
      </c>
      <c r="B143" t="s">
        <v>282</v>
      </c>
      <c r="C143" t="s">
        <v>304</v>
      </c>
    </row>
    <row r="144" spans="1:3" x14ac:dyDescent="0.2">
      <c r="A144" s="2" t="s">
        <v>123</v>
      </c>
      <c r="B144" t="s">
        <v>283</v>
      </c>
      <c r="C144" t="s">
        <v>301</v>
      </c>
    </row>
    <row r="145" spans="1:3" x14ac:dyDescent="0.2">
      <c r="A145" s="2" t="s">
        <v>123</v>
      </c>
      <c r="B145" t="s">
        <v>284</v>
      </c>
      <c r="C145" t="s">
        <v>299</v>
      </c>
    </row>
    <row r="146" spans="1:3" x14ac:dyDescent="0.2">
      <c r="A146" s="2" t="s">
        <v>123</v>
      </c>
      <c r="B146" t="s">
        <v>285</v>
      </c>
      <c r="C146" t="s">
        <v>304</v>
      </c>
    </row>
    <row r="147" spans="1:3" x14ac:dyDescent="0.2">
      <c r="A147" s="2" t="s">
        <v>123</v>
      </c>
      <c r="B147" t="s">
        <v>286</v>
      </c>
      <c r="C147" t="s">
        <v>301</v>
      </c>
    </row>
    <row r="148" spans="1:3" x14ac:dyDescent="0.2">
      <c r="A148" s="2" t="s">
        <v>123</v>
      </c>
      <c r="B148" t="s">
        <v>287</v>
      </c>
      <c r="C148" t="s">
        <v>299</v>
      </c>
    </row>
    <row r="149" spans="1:3" x14ac:dyDescent="0.2">
      <c r="A149" s="2" t="s">
        <v>123</v>
      </c>
      <c r="B149" t="s">
        <v>288</v>
      </c>
      <c r="C149" t="s">
        <v>299</v>
      </c>
    </row>
    <row r="150" spans="1:3" x14ac:dyDescent="0.2">
      <c r="A150" s="2" t="s">
        <v>123</v>
      </c>
      <c r="B150" t="s">
        <v>289</v>
      </c>
      <c r="C150" t="s">
        <v>299</v>
      </c>
    </row>
    <row r="151" spans="1:3" x14ac:dyDescent="0.2">
      <c r="A151" s="2" t="s">
        <v>123</v>
      </c>
      <c r="B151" t="s">
        <v>290</v>
      </c>
      <c r="C151" t="s">
        <v>303</v>
      </c>
    </row>
    <row r="152" spans="1:3" x14ac:dyDescent="0.2">
      <c r="A152" s="2" t="s">
        <v>123</v>
      </c>
      <c r="B152" t="s">
        <v>167</v>
      </c>
      <c r="C152" t="s">
        <v>308</v>
      </c>
    </row>
    <row r="153" spans="1:3" x14ac:dyDescent="0.2">
      <c r="A153" s="2" t="s">
        <v>123</v>
      </c>
      <c r="B153" t="s">
        <v>169</v>
      </c>
      <c r="C153" t="s">
        <v>309</v>
      </c>
    </row>
    <row r="154" spans="1:3" x14ac:dyDescent="0.2">
      <c r="A154" s="2" t="s">
        <v>123</v>
      </c>
      <c r="B154" t="s">
        <v>170</v>
      </c>
      <c r="C154" t="s">
        <v>308</v>
      </c>
    </row>
    <row r="155" spans="1:3" x14ac:dyDescent="0.2">
      <c r="A155" s="2" t="s">
        <v>123</v>
      </c>
      <c r="B155" t="s">
        <v>171</v>
      </c>
      <c r="C155" t="s">
        <v>310</v>
      </c>
    </row>
    <row r="156" spans="1:3" x14ac:dyDescent="0.2">
      <c r="A156" s="2" t="s">
        <v>123</v>
      </c>
      <c r="B156" t="s">
        <v>172</v>
      </c>
      <c r="C156" t="s">
        <v>311</v>
      </c>
    </row>
    <row r="157" spans="1:3" x14ac:dyDescent="0.2">
      <c r="A157" s="2" t="s">
        <v>123</v>
      </c>
      <c r="B157" t="s">
        <v>173</v>
      </c>
      <c r="C157" t="s">
        <v>309</v>
      </c>
    </row>
    <row r="158" spans="1:3" x14ac:dyDescent="0.2">
      <c r="A158" s="2" t="s">
        <v>123</v>
      </c>
      <c r="B158" t="s">
        <v>174</v>
      </c>
      <c r="C158" t="s">
        <v>309</v>
      </c>
    </row>
    <row r="159" spans="1:3" x14ac:dyDescent="0.2">
      <c r="A159" s="2" t="s">
        <v>123</v>
      </c>
      <c r="B159" t="s">
        <v>175</v>
      </c>
      <c r="C159" t="s">
        <v>309</v>
      </c>
    </row>
    <row r="160" spans="1:3" x14ac:dyDescent="0.2">
      <c r="A160" s="2" t="s">
        <v>123</v>
      </c>
      <c r="B160" t="s">
        <v>176</v>
      </c>
      <c r="C160" t="s">
        <v>312</v>
      </c>
    </row>
    <row r="161" spans="1:3" x14ac:dyDescent="0.2">
      <c r="A161" s="2" t="s">
        <v>123</v>
      </c>
      <c r="B161" t="s">
        <v>177</v>
      </c>
      <c r="C161" t="s">
        <v>308</v>
      </c>
    </row>
    <row r="162" spans="1:3" x14ac:dyDescent="0.2">
      <c r="A162" s="2" t="s">
        <v>123</v>
      </c>
      <c r="B162" t="s">
        <v>178</v>
      </c>
      <c r="C162" t="s">
        <v>309</v>
      </c>
    </row>
    <row r="163" spans="1:3" x14ac:dyDescent="0.2">
      <c r="A163" s="2" t="s">
        <v>123</v>
      </c>
      <c r="B163" t="s">
        <v>179</v>
      </c>
      <c r="C163" t="s">
        <v>309</v>
      </c>
    </row>
    <row r="164" spans="1:3" x14ac:dyDescent="0.2">
      <c r="A164" s="2" t="s">
        <v>123</v>
      </c>
      <c r="B164" t="s">
        <v>180</v>
      </c>
      <c r="C164" t="s">
        <v>309</v>
      </c>
    </row>
    <row r="165" spans="1:3" x14ac:dyDescent="0.2">
      <c r="A165" s="2" t="s">
        <v>123</v>
      </c>
      <c r="B165" t="s">
        <v>181</v>
      </c>
      <c r="C165" t="s">
        <v>309</v>
      </c>
    </row>
    <row r="166" spans="1:3" x14ac:dyDescent="0.2">
      <c r="A166" s="2" t="s">
        <v>123</v>
      </c>
      <c r="B166" t="s">
        <v>182</v>
      </c>
      <c r="C166" t="s">
        <v>313</v>
      </c>
    </row>
    <row r="167" spans="1:3" x14ac:dyDescent="0.2">
      <c r="A167" s="2" t="s">
        <v>123</v>
      </c>
      <c r="B167" t="s">
        <v>183</v>
      </c>
      <c r="C167" t="s">
        <v>312</v>
      </c>
    </row>
    <row r="168" spans="1:3" x14ac:dyDescent="0.2">
      <c r="A168" s="2" t="s">
        <v>123</v>
      </c>
      <c r="B168" t="s">
        <v>184</v>
      </c>
      <c r="C168" t="s">
        <v>308</v>
      </c>
    </row>
    <row r="169" spans="1:3" x14ac:dyDescent="0.2">
      <c r="A169" s="2" t="s">
        <v>123</v>
      </c>
      <c r="B169" t="s">
        <v>185</v>
      </c>
      <c r="C169" t="s">
        <v>310</v>
      </c>
    </row>
    <row r="170" spans="1:3" x14ac:dyDescent="0.2">
      <c r="A170" s="2" t="s">
        <v>123</v>
      </c>
      <c r="B170" t="s">
        <v>186</v>
      </c>
      <c r="C170" t="s">
        <v>309</v>
      </c>
    </row>
    <row r="171" spans="1:3" x14ac:dyDescent="0.2">
      <c r="A171" s="2" t="s">
        <v>123</v>
      </c>
      <c r="B171" t="s">
        <v>187</v>
      </c>
      <c r="C171" t="s">
        <v>309</v>
      </c>
    </row>
    <row r="172" spans="1:3" x14ac:dyDescent="0.2">
      <c r="A172" s="2" t="s">
        <v>123</v>
      </c>
      <c r="B172" t="s">
        <v>188</v>
      </c>
      <c r="C172" t="s">
        <v>309</v>
      </c>
    </row>
    <row r="173" spans="1:3" x14ac:dyDescent="0.2">
      <c r="A173" s="2" t="s">
        <v>123</v>
      </c>
      <c r="B173" t="s">
        <v>189</v>
      </c>
      <c r="C173" t="s">
        <v>310</v>
      </c>
    </row>
    <row r="174" spans="1:3" x14ac:dyDescent="0.2">
      <c r="A174" s="2" t="s">
        <v>123</v>
      </c>
      <c r="B174" t="s">
        <v>190</v>
      </c>
      <c r="C174" t="s">
        <v>308</v>
      </c>
    </row>
    <row r="175" spans="1:3" x14ac:dyDescent="0.2">
      <c r="A175" s="2" t="s">
        <v>123</v>
      </c>
      <c r="B175" t="s">
        <v>192</v>
      </c>
      <c r="C175" t="s">
        <v>309</v>
      </c>
    </row>
    <row r="176" spans="1:3" x14ac:dyDescent="0.2">
      <c r="A176" s="2" t="s">
        <v>123</v>
      </c>
      <c r="B176" t="s">
        <v>194</v>
      </c>
      <c r="C176" t="s">
        <v>313</v>
      </c>
    </row>
    <row r="177" spans="1:3" x14ac:dyDescent="0.2">
      <c r="A177" s="2" t="s">
        <v>123</v>
      </c>
      <c r="B177" t="s">
        <v>196</v>
      </c>
      <c r="C177" t="s">
        <v>309</v>
      </c>
    </row>
    <row r="178" spans="1:3" x14ac:dyDescent="0.2">
      <c r="A178" s="2" t="s">
        <v>123</v>
      </c>
      <c r="B178" t="s">
        <v>198</v>
      </c>
      <c r="C178" t="s">
        <v>309</v>
      </c>
    </row>
    <row r="179" spans="1:3" x14ac:dyDescent="0.2">
      <c r="A179" s="2" t="s">
        <v>123</v>
      </c>
      <c r="B179" t="s">
        <v>199</v>
      </c>
      <c r="C179" t="s">
        <v>309</v>
      </c>
    </row>
    <row r="180" spans="1:3" x14ac:dyDescent="0.2">
      <c r="A180" s="2" t="s">
        <v>123</v>
      </c>
      <c r="B180" t="s">
        <v>200</v>
      </c>
      <c r="C180" t="s">
        <v>309</v>
      </c>
    </row>
    <row r="181" spans="1:3" x14ac:dyDescent="0.2">
      <c r="A181" s="2" t="s">
        <v>123</v>
      </c>
      <c r="B181" t="s">
        <v>201</v>
      </c>
      <c r="C181" t="s">
        <v>309</v>
      </c>
    </row>
    <row r="182" spans="1:3" x14ac:dyDescent="0.2">
      <c r="A182" s="2" t="s">
        <v>123</v>
      </c>
      <c r="B182" t="s">
        <v>202</v>
      </c>
      <c r="C182" t="s">
        <v>313</v>
      </c>
    </row>
    <row r="183" spans="1:3" x14ac:dyDescent="0.2">
      <c r="A183" s="2" t="s">
        <v>123</v>
      </c>
      <c r="B183" t="s">
        <v>203</v>
      </c>
      <c r="C183" t="s">
        <v>310</v>
      </c>
    </row>
    <row r="184" spans="1:3" x14ac:dyDescent="0.2">
      <c r="A184" s="2" t="s">
        <v>123</v>
      </c>
      <c r="B184" t="s">
        <v>204</v>
      </c>
      <c r="C184" t="s">
        <v>310</v>
      </c>
    </row>
    <row r="185" spans="1:3" x14ac:dyDescent="0.2">
      <c r="A185" s="2" t="s">
        <v>123</v>
      </c>
      <c r="B185" t="s">
        <v>205</v>
      </c>
      <c r="C185" t="s">
        <v>310</v>
      </c>
    </row>
    <row r="186" spans="1:3" x14ac:dyDescent="0.2">
      <c r="A186" s="2" t="s">
        <v>123</v>
      </c>
      <c r="B186" t="s">
        <v>210</v>
      </c>
      <c r="C186" t="s">
        <v>314</v>
      </c>
    </row>
    <row r="187" spans="1:3" x14ac:dyDescent="0.2">
      <c r="A187" s="2" t="s">
        <v>123</v>
      </c>
      <c r="B187" t="s">
        <v>212</v>
      </c>
      <c r="C187" t="s">
        <v>309</v>
      </c>
    </row>
    <row r="188" spans="1:3" x14ac:dyDescent="0.2">
      <c r="A188" s="2" t="s">
        <v>123</v>
      </c>
      <c r="B188" t="s">
        <v>215</v>
      </c>
      <c r="C188" t="s">
        <v>315</v>
      </c>
    </row>
    <row r="189" spans="1:3" x14ac:dyDescent="0.2">
      <c r="A189" s="2" t="s">
        <v>123</v>
      </c>
      <c r="B189" t="s">
        <v>217</v>
      </c>
      <c r="C189" t="s">
        <v>309</v>
      </c>
    </row>
    <row r="190" spans="1:3" x14ac:dyDescent="0.2">
      <c r="A190" s="2" t="s">
        <v>123</v>
      </c>
      <c r="B190" t="s">
        <v>218</v>
      </c>
      <c r="C190" t="s">
        <v>309</v>
      </c>
    </row>
    <row r="191" spans="1:3" x14ac:dyDescent="0.2">
      <c r="A191" s="2" t="s">
        <v>123</v>
      </c>
      <c r="B191" t="s">
        <v>219</v>
      </c>
      <c r="C191" t="s">
        <v>312</v>
      </c>
    </row>
    <row r="192" spans="1:3" x14ac:dyDescent="0.2">
      <c r="A192" s="2" t="s">
        <v>123</v>
      </c>
      <c r="B192" t="s">
        <v>220</v>
      </c>
      <c r="C192" t="s">
        <v>310</v>
      </c>
    </row>
    <row r="193" spans="1:3" x14ac:dyDescent="0.2">
      <c r="A193" s="2" t="s">
        <v>123</v>
      </c>
      <c r="B193" t="s">
        <v>221</v>
      </c>
      <c r="C193" t="s">
        <v>309</v>
      </c>
    </row>
    <row r="194" spans="1:3" x14ac:dyDescent="0.2">
      <c r="A194" s="2" t="s">
        <v>123</v>
      </c>
      <c r="B194" t="s">
        <v>223</v>
      </c>
      <c r="C194" t="s">
        <v>308</v>
      </c>
    </row>
    <row r="195" spans="1:3" x14ac:dyDescent="0.2">
      <c r="A195" s="2" t="s">
        <v>123</v>
      </c>
      <c r="B195" t="s">
        <v>225</v>
      </c>
      <c r="C195" t="s">
        <v>313</v>
      </c>
    </row>
    <row r="196" spans="1:3" x14ac:dyDescent="0.2">
      <c r="A196" s="2" t="s">
        <v>123</v>
      </c>
      <c r="B196" t="s">
        <v>226</v>
      </c>
      <c r="C196" t="s">
        <v>309</v>
      </c>
    </row>
    <row r="197" spans="1:3" x14ac:dyDescent="0.2">
      <c r="A197" s="2" t="s">
        <v>123</v>
      </c>
      <c r="B197" t="s">
        <v>227</v>
      </c>
      <c r="C197" t="s">
        <v>308</v>
      </c>
    </row>
    <row r="198" spans="1:3" x14ac:dyDescent="0.2">
      <c r="A198" s="2" t="s">
        <v>123</v>
      </c>
      <c r="B198" t="s">
        <v>228</v>
      </c>
      <c r="C198" t="s">
        <v>309</v>
      </c>
    </row>
    <row r="199" spans="1:3" x14ac:dyDescent="0.2">
      <c r="A199" s="2" t="s">
        <v>123</v>
      </c>
      <c r="B199" t="s">
        <v>232</v>
      </c>
      <c r="C199" t="s">
        <v>309</v>
      </c>
    </row>
    <row r="200" spans="1:3" x14ac:dyDescent="0.2">
      <c r="A200" s="2" t="s">
        <v>123</v>
      </c>
      <c r="B200" t="s">
        <v>233</v>
      </c>
      <c r="C200" t="s">
        <v>309</v>
      </c>
    </row>
    <row r="201" spans="1:3" x14ac:dyDescent="0.2">
      <c r="A201" s="2" t="s">
        <v>123</v>
      </c>
      <c r="B201" t="s">
        <v>234</v>
      </c>
      <c r="C201" t="s">
        <v>309</v>
      </c>
    </row>
    <row r="202" spans="1:3" x14ac:dyDescent="0.2">
      <c r="A202" s="2" t="s">
        <v>123</v>
      </c>
      <c r="B202" t="s">
        <v>235</v>
      </c>
      <c r="C202" t="s">
        <v>310</v>
      </c>
    </row>
    <row r="203" spans="1:3" x14ac:dyDescent="0.2">
      <c r="A203" s="2" t="s">
        <v>123</v>
      </c>
      <c r="B203" t="s">
        <v>236</v>
      </c>
      <c r="C203" t="s">
        <v>310</v>
      </c>
    </row>
    <row r="204" spans="1:3" x14ac:dyDescent="0.2">
      <c r="A204" s="2" t="s">
        <v>123</v>
      </c>
      <c r="B204" t="s">
        <v>237</v>
      </c>
      <c r="C204" t="s">
        <v>309</v>
      </c>
    </row>
    <row r="205" spans="1:3" x14ac:dyDescent="0.2">
      <c r="A205" s="2" t="s">
        <v>123</v>
      </c>
      <c r="B205" t="s">
        <v>239</v>
      </c>
      <c r="C205" t="s">
        <v>310</v>
      </c>
    </row>
    <row r="206" spans="1:3" x14ac:dyDescent="0.2">
      <c r="A206" s="2" t="s">
        <v>123</v>
      </c>
      <c r="B206" t="s">
        <v>245</v>
      </c>
      <c r="C206" t="s">
        <v>310</v>
      </c>
    </row>
    <row r="207" spans="1:3" x14ac:dyDescent="0.2">
      <c r="A207" s="2" t="s">
        <v>123</v>
      </c>
      <c r="B207" t="s">
        <v>246</v>
      </c>
      <c r="C207" t="s">
        <v>313</v>
      </c>
    </row>
    <row r="208" spans="1:3" x14ac:dyDescent="0.2">
      <c r="A208" s="2" t="s">
        <v>123</v>
      </c>
      <c r="B208" t="s">
        <v>247</v>
      </c>
      <c r="C208" t="s">
        <v>310</v>
      </c>
    </row>
    <row r="209" spans="1:3" x14ac:dyDescent="0.2">
      <c r="A209" s="2" t="s">
        <v>123</v>
      </c>
      <c r="B209" t="s">
        <v>248</v>
      </c>
      <c r="C209" t="s">
        <v>313</v>
      </c>
    </row>
    <row r="210" spans="1:3" x14ac:dyDescent="0.2">
      <c r="A210" s="2" t="s">
        <v>123</v>
      </c>
      <c r="B210" t="s">
        <v>249</v>
      </c>
      <c r="C210" t="s">
        <v>313</v>
      </c>
    </row>
    <row r="211" spans="1:3" x14ac:dyDescent="0.2">
      <c r="A211" s="2" t="s">
        <v>123</v>
      </c>
      <c r="B211" t="s">
        <v>250</v>
      </c>
      <c r="C211" t="s">
        <v>309</v>
      </c>
    </row>
    <row r="212" spans="1:3" x14ac:dyDescent="0.2">
      <c r="A212" s="2" t="s">
        <v>123</v>
      </c>
      <c r="B212" t="s">
        <v>251</v>
      </c>
      <c r="C212" t="s">
        <v>310</v>
      </c>
    </row>
    <row r="213" spans="1:3" x14ac:dyDescent="0.2">
      <c r="A213" s="2" t="s">
        <v>123</v>
      </c>
      <c r="B213" t="s">
        <v>253</v>
      </c>
      <c r="C213" t="s">
        <v>313</v>
      </c>
    </row>
    <row r="214" spans="1:3" x14ac:dyDescent="0.2">
      <c r="A214" s="2" t="s">
        <v>123</v>
      </c>
      <c r="B214" t="s">
        <v>255</v>
      </c>
      <c r="C214" t="s">
        <v>308</v>
      </c>
    </row>
    <row r="215" spans="1:3" x14ac:dyDescent="0.2">
      <c r="A215" s="2" t="s">
        <v>123</v>
      </c>
      <c r="B215" t="s">
        <v>256</v>
      </c>
      <c r="C215" t="s">
        <v>309</v>
      </c>
    </row>
    <row r="216" spans="1:3" x14ac:dyDescent="0.2">
      <c r="A216" s="2" t="s">
        <v>123</v>
      </c>
      <c r="B216" t="s">
        <v>257</v>
      </c>
      <c r="C216" t="s">
        <v>312</v>
      </c>
    </row>
    <row r="217" spans="1:3" x14ac:dyDescent="0.2">
      <c r="A217" s="2" t="s">
        <v>123</v>
      </c>
      <c r="B217" t="s">
        <v>258</v>
      </c>
      <c r="C217" t="s">
        <v>313</v>
      </c>
    </row>
    <row r="218" spans="1:3" x14ac:dyDescent="0.2">
      <c r="A218" s="2" t="s">
        <v>123</v>
      </c>
      <c r="B218" t="s">
        <v>259</v>
      </c>
      <c r="C218" t="s">
        <v>311</v>
      </c>
    </row>
    <row r="219" spans="1:3" x14ac:dyDescent="0.2">
      <c r="A219" s="2" t="s">
        <v>123</v>
      </c>
      <c r="B219" t="s">
        <v>260</v>
      </c>
      <c r="C219" t="s">
        <v>308</v>
      </c>
    </row>
    <row r="220" spans="1:3" x14ac:dyDescent="0.2">
      <c r="A220" s="2" t="s">
        <v>123</v>
      </c>
      <c r="B220" t="s">
        <v>263</v>
      </c>
      <c r="C220" t="s">
        <v>309</v>
      </c>
    </row>
    <row r="221" spans="1:3" x14ac:dyDescent="0.2">
      <c r="A221" s="2" t="s">
        <v>123</v>
      </c>
      <c r="B221" t="s">
        <v>266</v>
      </c>
      <c r="C221" t="s">
        <v>309</v>
      </c>
    </row>
    <row r="222" spans="1:3" x14ac:dyDescent="0.2">
      <c r="A222" s="2" t="s">
        <v>123</v>
      </c>
      <c r="B222" t="s">
        <v>269</v>
      </c>
      <c r="C222" t="s">
        <v>309</v>
      </c>
    </row>
    <row r="223" spans="1:3" x14ac:dyDescent="0.2">
      <c r="A223" s="2" t="s">
        <v>123</v>
      </c>
      <c r="B223" t="s">
        <v>270</v>
      </c>
      <c r="C223" t="s">
        <v>308</v>
      </c>
    </row>
    <row r="224" spans="1:3" x14ac:dyDescent="0.2">
      <c r="A224" s="2" t="s">
        <v>123</v>
      </c>
      <c r="B224" t="s">
        <v>271</v>
      </c>
      <c r="C224" t="s">
        <v>308</v>
      </c>
    </row>
    <row r="225" spans="1:3" x14ac:dyDescent="0.2">
      <c r="A225" s="2" t="s">
        <v>123</v>
      </c>
      <c r="B225" t="s">
        <v>272</v>
      </c>
      <c r="C225" t="s">
        <v>309</v>
      </c>
    </row>
    <row r="226" spans="1:3" x14ac:dyDescent="0.2">
      <c r="A226" s="2" t="s">
        <v>123</v>
      </c>
      <c r="B226" t="s">
        <v>273</v>
      </c>
      <c r="C226" t="s">
        <v>308</v>
      </c>
    </row>
    <row r="227" spans="1:3" x14ac:dyDescent="0.2">
      <c r="A227" s="2" t="s">
        <v>123</v>
      </c>
      <c r="B227" t="s">
        <v>274</v>
      </c>
      <c r="C227" t="s">
        <v>312</v>
      </c>
    </row>
    <row r="228" spans="1:3" x14ac:dyDescent="0.2">
      <c r="A228" s="2" t="s">
        <v>123</v>
      </c>
      <c r="B228" t="s">
        <v>275</v>
      </c>
      <c r="C228" t="s">
        <v>311</v>
      </c>
    </row>
    <row r="229" spans="1:3" x14ac:dyDescent="0.2">
      <c r="A229" s="2" t="s">
        <v>123</v>
      </c>
      <c r="B229" t="s">
        <v>276</v>
      </c>
      <c r="C229" t="s">
        <v>309</v>
      </c>
    </row>
    <row r="230" spans="1:3" x14ac:dyDescent="0.2">
      <c r="A230" s="2" t="s">
        <v>123</v>
      </c>
      <c r="B230" t="s">
        <v>281</v>
      </c>
      <c r="C230" t="s">
        <v>309</v>
      </c>
    </row>
    <row r="231" spans="1:3" x14ac:dyDescent="0.2">
      <c r="A231" s="2" t="s">
        <v>123</v>
      </c>
      <c r="B231" t="s">
        <v>288</v>
      </c>
      <c r="C231" t="s">
        <v>308</v>
      </c>
    </row>
    <row r="232" spans="1:3" x14ac:dyDescent="0.2">
      <c r="A232" s="2" t="s">
        <v>123</v>
      </c>
      <c r="B232" t="s">
        <v>289</v>
      </c>
      <c r="C232" t="s">
        <v>308</v>
      </c>
    </row>
    <row r="233" spans="1:3" x14ac:dyDescent="0.2">
      <c r="A233" s="2" t="s">
        <v>123</v>
      </c>
      <c r="B233" t="s">
        <v>170</v>
      </c>
      <c r="C233" t="s">
        <v>316</v>
      </c>
    </row>
    <row r="234" spans="1:3" x14ac:dyDescent="0.2">
      <c r="A234" s="2" t="s">
        <v>123</v>
      </c>
      <c r="B234" t="s">
        <v>173</v>
      </c>
      <c r="C234" t="s">
        <v>317</v>
      </c>
    </row>
    <row r="235" spans="1:3" x14ac:dyDescent="0.2">
      <c r="A235" s="2" t="s">
        <v>123</v>
      </c>
      <c r="B235" t="s">
        <v>175</v>
      </c>
      <c r="C235" t="s">
        <v>318</v>
      </c>
    </row>
    <row r="236" spans="1:3" x14ac:dyDescent="0.2">
      <c r="A236" s="2" t="s">
        <v>123</v>
      </c>
      <c r="B236" t="s">
        <v>176</v>
      </c>
      <c r="C236" t="s">
        <v>318</v>
      </c>
    </row>
    <row r="237" spans="1:3" x14ac:dyDescent="0.2">
      <c r="A237" s="2" t="s">
        <v>123</v>
      </c>
      <c r="B237" t="s">
        <v>177</v>
      </c>
      <c r="C237" t="s">
        <v>317</v>
      </c>
    </row>
    <row r="238" spans="1:3" x14ac:dyDescent="0.2">
      <c r="A238" s="2" t="s">
        <v>123</v>
      </c>
      <c r="B238" t="s">
        <v>183</v>
      </c>
      <c r="C238" t="s">
        <v>319</v>
      </c>
    </row>
    <row r="239" spans="1:3" x14ac:dyDescent="0.2">
      <c r="A239" s="2" t="s">
        <v>123</v>
      </c>
      <c r="B239" t="s">
        <v>187</v>
      </c>
      <c r="C239" t="s">
        <v>318</v>
      </c>
    </row>
    <row r="240" spans="1:3" x14ac:dyDescent="0.2">
      <c r="A240" s="2" t="s">
        <v>123</v>
      </c>
      <c r="B240" t="s">
        <v>203</v>
      </c>
      <c r="C240" t="s">
        <v>316</v>
      </c>
    </row>
    <row r="241" spans="1:3" x14ac:dyDescent="0.2">
      <c r="A241" s="2" t="s">
        <v>123</v>
      </c>
      <c r="B241" t="s">
        <v>204</v>
      </c>
      <c r="C241" t="s">
        <v>318</v>
      </c>
    </row>
    <row r="242" spans="1:3" x14ac:dyDescent="0.2">
      <c r="A242" s="2" t="s">
        <v>123</v>
      </c>
      <c r="B242" t="s">
        <v>219</v>
      </c>
      <c r="C242" t="s">
        <v>319</v>
      </c>
    </row>
    <row r="243" spans="1:3" x14ac:dyDescent="0.2">
      <c r="A243" s="2" t="s">
        <v>123</v>
      </c>
      <c r="B243" t="s">
        <v>223</v>
      </c>
      <c r="C243" t="s">
        <v>320</v>
      </c>
    </row>
    <row r="244" spans="1:3" x14ac:dyDescent="0.2">
      <c r="A244" s="2" t="s">
        <v>123</v>
      </c>
      <c r="B244" t="s">
        <v>228</v>
      </c>
      <c r="C244" t="s">
        <v>317</v>
      </c>
    </row>
    <row r="245" spans="1:3" x14ac:dyDescent="0.2">
      <c r="A245" s="2" t="s">
        <v>123</v>
      </c>
      <c r="B245" t="s">
        <v>237</v>
      </c>
      <c r="C245" t="s">
        <v>321</v>
      </c>
    </row>
    <row r="246" spans="1:3" x14ac:dyDescent="0.2">
      <c r="A246" s="2" t="s">
        <v>123</v>
      </c>
      <c r="B246" t="s">
        <v>239</v>
      </c>
      <c r="C246" t="s">
        <v>319</v>
      </c>
    </row>
    <row r="247" spans="1:3" x14ac:dyDescent="0.2">
      <c r="A247" s="2" t="s">
        <v>123</v>
      </c>
      <c r="B247" t="s">
        <v>246</v>
      </c>
      <c r="C247" t="s">
        <v>321</v>
      </c>
    </row>
    <row r="248" spans="1:3" x14ac:dyDescent="0.2">
      <c r="A248" s="2" t="s">
        <v>123</v>
      </c>
      <c r="B248" t="s">
        <v>249</v>
      </c>
      <c r="C248" t="s">
        <v>320</v>
      </c>
    </row>
    <row r="249" spans="1:3" x14ac:dyDescent="0.2">
      <c r="A249" s="2" t="s">
        <v>123</v>
      </c>
      <c r="B249" t="s">
        <v>259</v>
      </c>
      <c r="C249" t="s">
        <v>319</v>
      </c>
    </row>
    <row r="250" spans="1:3" x14ac:dyDescent="0.2">
      <c r="A250" s="2" t="s">
        <v>123</v>
      </c>
      <c r="B250" t="s">
        <v>271</v>
      </c>
      <c r="C250" t="s">
        <v>318</v>
      </c>
    </row>
    <row r="251" spans="1:3" x14ac:dyDescent="0.2">
      <c r="A251" s="2" t="s">
        <v>123</v>
      </c>
      <c r="B251" t="s">
        <v>272</v>
      </c>
      <c r="C251" t="s">
        <v>317</v>
      </c>
    </row>
    <row r="252" spans="1:3" x14ac:dyDescent="0.2">
      <c r="A252" s="2" t="s">
        <v>123</v>
      </c>
      <c r="B252" t="s">
        <v>274</v>
      </c>
      <c r="C252" t="s">
        <v>322</v>
      </c>
    </row>
    <row r="257" spans="1:5" x14ac:dyDescent="0.2">
      <c r="A257" s="2" t="s">
        <v>123</v>
      </c>
      <c r="B257" s="31" t="s">
        <v>323</v>
      </c>
      <c r="C257" s="31" t="s">
        <v>324</v>
      </c>
    </row>
    <row r="260" spans="1:5" x14ac:dyDescent="0.2">
      <c r="A260" s="2" t="s">
        <v>112</v>
      </c>
      <c r="B260" s="31" t="s">
        <v>292</v>
      </c>
      <c r="C260" s="31"/>
      <c r="D260" s="31"/>
    </row>
    <row r="261" spans="1:5" x14ac:dyDescent="0.2">
      <c r="A261" s="31" t="s">
        <v>105</v>
      </c>
      <c r="B261">
        <v>5</v>
      </c>
      <c r="C261">
        <v>7</v>
      </c>
      <c r="D261">
        <v>5</v>
      </c>
    </row>
    <row r="262" spans="1:5" x14ac:dyDescent="0.2">
      <c r="A262" s="2"/>
    </row>
    <row r="266" spans="1:5" x14ac:dyDescent="0.2">
      <c r="A266" s="2" t="s">
        <v>132</v>
      </c>
      <c r="B266" s="31" t="s">
        <v>325</v>
      </c>
      <c r="C266" s="31"/>
      <c r="E266" s="31" t="s">
        <v>133</v>
      </c>
    </row>
    <row r="267" spans="1:5" x14ac:dyDescent="0.2">
      <c r="B267">
        <v>1</v>
      </c>
      <c r="C267" t="str">
        <f>SUBSTITUTE(MID(E267,4,100),"'","")</f>
        <v>Freundlichkeit des Tabellenbanderstellers</v>
      </c>
      <c r="E267" t="s">
        <v>102</v>
      </c>
    </row>
    <row r="268" spans="1:5" x14ac:dyDescent="0.2">
      <c r="B268">
        <v>2</v>
      </c>
      <c r="C268" t="str">
        <f t="shared" ref="C268:C273" si="0">SUBSTITUTE(MID(E268,4,100),"'","")</f>
        <v>Kompetenz</v>
      </c>
      <c r="E268" t="s">
        <v>104</v>
      </c>
    </row>
    <row r="269" spans="1:5" x14ac:dyDescent="0.2">
      <c r="B269">
        <v>3</v>
      </c>
      <c r="C269" t="str">
        <f t="shared" si="0"/>
        <v>Schnelligkeit der Umsetzung</v>
      </c>
      <c r="E269" t="s">
        <v>106</v>
      </c>
    </row>
    <row r="270" spans="1:5" x14ac:dyDescent="0.2">
      <c r="B270">
        <v>4</v>
      </c>
      <c r="C270" t="str">
        <f t="shared" si="0"/>
        <v>Darstellung der Daten</v>
      </c>
      <c r="E270" t="s">
        <v>107</v>
      </c>
    </row>
    <row r="271" spans="1:5" x14ac:dyDescent="0.2">
      <c r="B271">
        <v>5</v>
      </c>
      <c r="C271" t="str">
        <f t="shared" si="0"/>
        <v>einfache Weiterverarbeitung der Daten</v>
      </c>
      <c r="E271" t="s">
        <v>108</v>
      </c>
    </row>
    <row r="272" spans="1:5" x14ac:dyDescent="0.2">
      <c r="B272">
        <v>97</v>
      </c>
      <c r="C272" t="str">
        <f t="shared" si="0"/>
        <v>Sonstiges</v>
      </c>
      <c r="E272" t="s">
        <v>101</v>
      </c>
    </row>
    <row r="273" spans="1:5" x14ac:dyDescent="0.2">
      <c r="A273" s="2" t="s">
        <v>105</v>
      </c>
      <c r="B273">
        <v>99</v>
      </c>
      <c r="C273" t="str">
        <f t="shared" si="0"/>
        <v>Keine Angabe</v>
      </c>
      <c r="E273" t="s">
        <v>103</v>
      </c>
    </row>
  </sheetData>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985" r:id="rId4" name="Drop Down 1">
              <controlPr defaultSize="0" autoLine="0" autoPict="0" macro="[1]!TemplateFill">
                <anchor moveWithCells="1">
                  <from>
                    <xdr:col>1</xdr:col>
                    <xdr:colOff>361950</xdr:colOff>
                    <xdr:row>0</xdr:row>
                    <xdr:rowOff>47625</xdr:rowOff>
                  </from>
                  <to>
                    <xdr:col>1</xdr:col>
                    <xdr:colOff>1885950</xdr:colOff>
                    <xdr:row>0</xdr:row>
                    <xdr:rowOff>228600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dimension ref="A7:A302"/>
  <sheetViews>
    <sheetView workbookViewId="0"/>
  </sheetViews>
  <sheetFormatPr baseColWidth="10" defaultColWidth="11.42578125" defaultRowHeight="12.75" x14ac:dyDescent="0.2"/>
  <sheetData>
    <row r="7" ht="12.75" customHeight="1" x14ac:dyDescent="0.2"/>
    <row r="9" ht="12.75" customHeight="1" x14ac:dyDescent="0.2"/>
    <row r="11" ht="12.75" customHeight="1" x14ac:dyDescent="0.2"/>
    <row r="13" ht="12.75" customHeight="1" x14ac:dyDescent="0.2"/>
    <row r="15" ht="12.75" customHeight="1" x14ac:dyDescent="0.2"/>
    <row r="17" ht="12.75" customHeight="1" x14ac:dyDescent="0.2"/>
    <row r="19" ht="12.75" customHeight="1" x14ac:dyDescent="0.2"/>
    <row r="21" ht="12.75" customHeight="1" x14ac:dyDescent="0.2"/>
    <row r="23" ht="12.75" customHeight="1" x14ac:dyDescent="0.2"/>
    <row r="25" ht="12.75" customHeight="1" x14ac:dyDescent="0.2"/>
    <row r="27" ht="12.75" customHeight="1" x14ac:dyDescent="0.2"/>
    <row r="29" ht="12.75" customHeight="1" x14ac:dyDescent="0.2"/>
    <row r="31" ht="12.75" customHeight="1" x14ac:dyDescent="0.2"/>
    <row r="33" ht="12.75" customHeight="1" x14ac:dyDescent="0.2"/>
    <row r="35" ht="12.75" customHeight="1" x14ac:dyDescent="0.2"/>
    <row r="37"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F64E30-BC48-4AD5-AF4A-0B8802E9DB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28</vt:i4>
      </vt:variant>
    </vt:vector>
  </HeadingPairs>
  <TitlesOfParts>
    <vt:vector size="34" baseType="lpstr">
      <vt:lpstr>Variables</vt:lpstr>
      <vt:lpstr>Label</vt:lpstr>
      <vt:lpstr>Verbatims</vt:lpstr>
      <vt:lpstr>Free1</vt:lpstr>
      <vt:lpstr>Free2</vt:lpstr>
      <vt:lpstr>Tabelle1</vt:lpstr>
      <vt:lpstr>Variables!_GoBack</vt:lpstr>
      <vt:lpstr>Free1!Beliebig</vt:lpstr>
      <vt:lpstr>Free2!Beliebig</vt:lpstr>
      <vt:lpstr>Variables!Leeren</vt:lpstr>
      <vt:lpstr>R_id_var</vt:lpstr>
      <vt:lpstr>R_lab_before_var_sheet</vt:lpstr>
      <vt:lpstr>R_miss_rec_lab</vt:lpstr>
      <vt:lpstr>R_miss_rec_val</vt:lpstr>
      <vt:lpstr>V_LabelvorVariablen</vt:lpstr>
      <vt:lpstr>V_SysmisLab</vt:lpstr>
      <vt:lpstr>V_SysmisVal</vt:lpstr>
      <vt:lpstr>V_Variablen</vt:lpstr>
      <vt:lpstr>V_VariablenEigenschaften</vt:lpstr>
      <vt:lpstr>V_Verbatims_Code</vt:lpstr>
      <vt:lpstr>V_Verbatims_Ergebnisdatei</vt:lpstr>
      <vt:lpstr>V_Verbatims_IDFormat</vt:lpstr>
      <vt:lpstr>V_Verbatims_IDVar</vt:lpstr>
      <vt:lpstr>V_Verbatims_InputDatei</vt:lpstr>
      <vt:lpstr>V_Verbatims_InputFrom</vt:lpstr>
      <vt:lpstr>V_Verbatims_InputTo</vt:lpstr>
      <vt:lpstr>V_VerbatimsDateiReplace</vt:lpstr>
      <vt:lpstr>V_VerbatimsDaten</vt:lpstr>
      <vt:lpstr>Verbatims!Vorlage</vt:lpstr>
      <vt:lpstr>Free1!Werte</vt:lpstr>
      <vt:lpstr>Free2!Werte</vt:lpstr>
      <vt:lpstr>Label!Werte</vt:lpstr>
      <vt:lpstr>Variables!Werte</vt:lpstr>
      <vt:lpstr>Verbatims!Werte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 Wilke</dc:creator>
  <cp:lastModifiedBy>Wolf Wilke</cp:lastModifiedBy>
  <cp:lastPrinted>2015-02-11T13:27:26Z</cp:lastPrinted>
  <dcterms:created xsi:type="dcterms:W3CDTF">2008-09-18T13:47:16Z</dcterms:created>
  <dcterms:modified xsi:type="dcterms:W3CDTF">2022-02-03T16:51:51Z</dcterms:modified>
</cp:coreProperties>
</file>