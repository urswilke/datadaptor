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stufen" sheetId="1" state="visible" r:id="rId2"/>
    <sheet name="Q6" sheetId="2" state="visible" r:id="rId3"/>
    <sheet name="Q7" sheetId="3" state="visible" r:id="rId4"/>
    <sheet name="q6mdg" sheetId="4" state="visible" r:id="rId5"/>
    <sheet name="q6mcg" sheetId="5" state="visible" r:id="rId6"/>
  </sheets>
  <definedNames>
    <definedName function="false" hidden="true" localSheetId="1" name="_xlnm._FilterDatabase" vbProcedure="false">Q6!$D$32:$T$132</definedName>
    <definedName function="false" hidden="true" localSheetId="4" name="_xlnm._FilterDatabase" vbProcedure="false">q6mcg!$D$32:$BD$132</definedName>
    <definedName function="false" hidden="true" localSheetId="3" name="_xlnm._FilterDatabase" vbProcedure="false">q6mdg!$D$32:$BD$132</definedName>
    <definedName function="false" hidden="true" localSheetId="2" name="_xlnm._FilterDatabase" vbProcedure="false">Q7!$D$32:$T$132</definedName>
    <definedName function="false" hidden="false" localSheetId="1" name="V_AnzVariablen" vbProcedure="false">Q6!$H$5</definedName>
    <definedName function="false" hidden="false" localSheetId="1" name="V_B_Q6_AnzZuord" vbProcedure="false">Q6!$D$14</definedName>
    <definedName function="false" hidden="false" localSheetId="1" name="V_B_Q6_AnzZuordOVerb" vbProcedure="false">Q6!$D$18</definedName>
    <definedName function="false" hidden="false" localSheetId="1" name="V_B_Q6_Codestufen" vbProcedure="false">Q6!$D$22</definedName>
    <definedName function="false" hidden="false" localSheetId="1" name="V_B_Q6_CodestufenName" vbProcedure="false">Q6!$D$20</definedName>
    <definedName function="false" hidden="false" localSheetId="1" name="V_B_Q6_Datensaetze" vbProcedure="false">Q6!$D$8</definedName>
    <definedName function="false" hidden="false" localSheetId="1" name="V_B_Q6_Verbatims" vbProcedure="false">Q6!$D$10</definedName>
    <definedName function="false" hidden="false" localSheetId="1" name="V_B_Q6_Zuord" vbProcedure="false">Q6!$D$12</definedName>
    <definedName function="false" hidden="false" localSheetId="1" name="V_W_Q6_AnzZuord" vbProcedure="false">Q6!$I$33:$I$132</definedName>
    <definedName function="false" hidden="false" localSheetId="1" name="V_W_Q6_AnzZuordOVerb" vbProcedure="false">Q6!$K$33:$K$132</definedName>
    <definedName function="false" hidden="false" localSheetId="1" name="V_W_Q6_Codestufen" vbProcedure="false">Q6!$C$1:$C$100</definedName>
    <definedName function="false" hidden="false" localSheetId="1" name="V_W_Q6_CodestufenName" vbProcedure="false">Q6!$B$1:$B$100</definedName>
    <definedName function="false" hidden="false" localSheetId="1" name="V_W_Q6_Datensaetze" vbProcedure="false">Q6!$D$33:$D$132</definedName>
    <definedName function="false" hidden="false" localSheetId="1" name="V_W_Q6_Verbatims" vbProcedure="false">Q6!$H$33:$H$132</definedName>
    <definedName function="false" hidden="false" localSheetId="1" name="V_W_Q6_Zuord" vbProcedure="false">Q6!$G$33:$G$132</definedName>
    <definedName function="false" hidden="false" localSheetId="2" name="V_AnzVariablen" vbProcedure="false">Q7!$H$5</definedName>
    <definedName function="false" hidden="false" localSheetId="2" name="V_B_Q7_AnzZuord" vbProcedure="false">Q7!$D$14</definedName>
    <definedName function="false" hidden="false" localSheetId="2" name="V_B_Q7_AnzZuordOVerb" vbProcedure="false">Q7!$D$18</definedName>
    <definedName function="false" hidden="false" localSheetId="2" name="V_B_Q7_Codestufen" vbProcedure="false">Q7!$D$22</definedName>
    <definedName function="false" hidden="false" localSheetId="2" name="V_B_Q7_CodestufenName" vbProcedure="false">Q7!$D$20</definedName>
    <definedName function="false" hidden="false" localSheetId="2" name="V_B_Q7_Datensaetze" vbProcedure="false">Q7!$D$8</definedName>
    <definedName function="false" hidden="false" localSheetId="2" name="V_B_Q7_Verbatims" vbProcedure="false">Q7!$D$10</definedName>
    <definedName function="false" hidden="false" localSheetId="2" name="V_B_Q7_Zuord" vbProcedure="false">Q7!$D$12</definedName>
    <definedName function="false" hidden="false" localSheetId="2" name="V_W_Q7_AnzZuord" vbProcedure="false">Q7!$I$33:$I$132</definedName>
    <definedName function="false" hidden="false" localSheetId="2" name="V_W_Q7_AnzZuordOVerb" vbProcedure="false">Q7!$K$33:$K$132</definedName>
    <definedName function="false" hidden="false" localSheetId="2" name="V_W_Q7_Codestufen" vbProcedure="false">Q7!$C$1:$C$100</definedName>
    <definedName function="false" hidden="false" localSheetId="2" name="V_W_Q7_CodestufenName" vbProcedure="false">Q7!$B$1:$B$100</definedName>
    <definedName function="false" hidden="false" localSheetId="2" name="V_W_Q7_Datensaetze" vbProcedure="false">Q7!$D$33:$D$132</definedName>
    <definedName function="false" hidden="false" localSheetId="2" name="V_W_Q7_Verbatims" vbProcedure="false">Q7!$H$33:$H$132</definedName>
    <definedName function="false" hidden="false" localSheetId="2" name="V_W_Q7_Zuord" vbProcedure="false">Q7!$G$33:$G$132</definedName>
    <definedName function="false" hidden="false" localSheetId="3" name="V_AnzVariablen" vbProcedure="false">q6mdg!$H$5</definedName>
    <definedName function="false" hidden="false" localSheetId="3" name="V_B_q6mdg_AnzZuord" vbProcedure="false">q6mdg!$D$14</definedName>
    <definedName function="false" hidden="false" localSheetId="3" name="V_B_q6mdg_AnzZuordOVerb" vbProcedure="false">q6mdg!$D$18</definedName>
    <definedName function="false" hidden="false" localSheetId="3" name="V_B_q6mdg_Codestufen" vbProcedure="false">q6mdg!$D$22</definedName>
    <definedName function="false" hidden="false" localSheetId="3" name="V_B_q6mdg_CodestufenName" vbProcedure="false">q6mdg!$D$20</definedName>
    <definedName function="false" hidden="false" localSheetId="3" name="V_B_q6mdg_Datensaetze" vbProcedure="false">q6mdg!$D$8</definedName>
    <definedName function="false" hidden="false" localSheetId="3" name="V_B_q6mdg_Verbatims" vbProcedure="false">q6mdg!$D$10</definedName>
    <definedName function="false" hidden="false" localSheetId="3" name="V_B_q6mdg_Zuord" vbProcedure="false">q6mdg!$D$12</definedName>
    <definedName function="false" hidden="false" localSheetId="3" name="V_W_q6mdg_AnzZuord" vbProcedure="false">q6mdg!$R$33:$R$132</definedName>
    <definedName function="false" hidden="false" localSheetId="3" name="V_W_q6mdg_AnzZuordOVerb" vbProcedure="false">q6mdg!$T$33:$T$132</definedName>
    <definedName function="false" hidden="false" localSheetId="3" name="V_W_q6mdg_Codestufen" vbProcedure="false">q6mdg!$C$1:$C$100</definedName>
    <definedName function="false" hidden="false" localSheetId="3" name="V_W_q6mdg_CodestufenName" vbProcedure="false">q6mdg!$B$1:$B$100</definedName>
    <definedName function="false" hidden="false" localSheetId="3" name="V_W_q6mdg_Datensaetze" vbProcedure="false">q6mdg!$D$33:$D$132</definedName>
    <definedName function="false" hidden="false" localSheetId="3" name="V_W_q6mdg_Verbatims" vbProcedure="false">q6mdg!$Q$33:$Q$132</definedName>
    <definedName function="false" hidden="false" localSheetId="3" name="V_W_q6mdg_Zuord" vbProcedure="false">q6mdg!$G$33:$P$132</definedName>
    <definedName function="false" hidden="false" localSheetId="4" name="V_AnzVariablen" vbProcedure="false">q6mcg!$H$5</definedName>
    <definedName function="false" hidden="false" localSheetId="4" name="V_B_q6mcg_AnzZuord" vbProcedure="false">q6mcg!$D$14</definedName>
    <definedName function="false" hidden="false" localSheetId="4" name="V_B_q6mcg_AnzZuordOVerb" vbProcedure="false">q6mcg!$D$18</definedName>
    <definedName function="false" hidden="false" localSheetId="4" name="V_B_q6mcg_Codestufen" vbProcedure="false">q6mcg!$D$22</definedName>
    <definedName function="false" hidden="false" localSheetId="4" name="V_B_q6mcg_CodestufenName" vbProcedure="false">q6mcg!$D$20</definedName>
    <definedName function="false" hidden="false" localSheetId="4" name="V_B_q6mcg_Datensaetze" vbProcedure="false">q6mcg!$D$8</definedName>
    <definedName function="false" hidden="false" localSheetId="4" name="V_B_q6mcg_Verbatims" vbProcedure="false">q6mcg!$D$10</definedName>
    <definedName function="false" hidden="false" localSheetId="4" name="V_B_q6mcg_Zuord" vbProcedure="false">q6mcg!$D$12</definedName>
    <definedName function="false" hidden="false" localSheetId="4" name="V_W_q6mcg_AnzZuord" vbProcedure="false">q6mcg!$R$33:$R$132</definedName>
    <definedName function="false" hidden="false" localSheetId="4" name="V_W_q6mcg_AnzZuordOVerb" vbProcedure="false">q6mcg!$T$33:$T$132</definedName>
    <definedName function="false" hidden="false" localSheetId="4" name="V_W_q6mcg_Codestufen" vbProcedure="false">q6mcg!$C$1:$C$100</definedName>
    <definedName function="false" hidden="false" localSheetId="4" name="V_W_q6mcg_CodestufenName" vbProcedure="false">q6mcg!$B$1:$B$100</definedName>
    <definedName function="false" hidden="false" localSheetId="4" name="V_W_q6mcg_Datensaetze" vbProcedure="false">q6mcg!$D$33:$D$132</definedName>
    <definedName function="false" hidden="false" localSheetId="4" name="V_W_q6mcg_Verbatims" vbProcedure="false">q6mcg!$Q$33:$Q$132</definedName>
    <definedName function="false" hidden="false" localSheetId="4" name="V_W_q6mcg_Zuord" vbProcedure="false">q6mcg!$G$33:$P$132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<sst xmlns="http://schemas.openxmlformats.org/spreadsheetml/2006/main" count="1071" uniqueCount="116">
  <si>
    <t xml:space="preserve">love </t>
  </si>
  <si>
    <t xml:space="preserve">sadness </t>
  </si>
  <si>
    <t xml:space="preserve">joy </t>
  </si>
  <si>
    <t xml:space="preserve">fear</t>
  </si>
  <si>
    <t xml:space="preserve"> happiness</t>
  </si>
  <si>
    <t xml:space="preserve">anger</t>
  </si>
  <si>
    <t xml:space="preserve">happiness</t>
  </si>
  <si>
    <t xml:space="preserve">pain</t>
  </si>
  <si>
    <t xml:space="preserve">noch wat</t>
  </si>
  <si>
    <t xml:space="preserve">&lt;reserved&gt;</t>
  </si>
  <si>
    <t xml:space="preserve">Others</t>
  </si>
  <si>
    <t xml:space="preserve">No answer</t>
  </si>
  <si>
    <t xml:space="preserve">Q6</t>
  </si>
  <si>
    <t xml:space="preserve">Code</t>
  </si>
  <si>
    <t xml:space="preserve">Beschreibung</t>
  </si>
  <si>
    <t xml:space="preserve">Anzahl</t>
  </si>
  <si>
    <t xml:space="preserve">Übersicht</t>
  </si>
  <si>
    <t xml:space="preserve">Datensätze</t>
  </si>
  <si>
    <t xml:space="preserve">Codestufenspalte</t>
  </si>
  <si>
    <t xml:space="preserve">Variablen</t>
  </si>
  <si>
    <t xml:space="preserve">Verbatims</t>
  </si>
  <si>
    <t xml:space="preserve">Zuordnungen</t>
  </si>
  <si>
    <t xml:space="preserve">Nennungen</t>
  </si>
  <si>
    <t xml:space="preserve">Status</t>
  </si>
  <si>
    <t xml:space="preserve">Anzahl Zuordnungen</t>
  </si>
  <si>
    <t xml:space="preserve">Anzahl ohne Zuordnung</t>
  </si>
  <si>
    <t xml:space="preserve">Anzahl Zuordnungen ohne Verbatim</t>
  </si>
  <si>
    <t xml:space="preserve">Codestufen Name</t>
  </si>
  <si>
    <t xml:space="preserve">B1:B100</t>
  </si>
  <si>
    <t xml:space="preserve">Codestufen Anzahl</t>
  </si>
  <si>
    <t xml:space="preserve">C1:C100</t>
  </si>
  <si>
    <t xml:space="preserve">Letzte Zeile</t>
  </si>
  <si>
    <t xml:space="preserve">Feste</t>
  </si>
  <si>
    <t xml:space="preserve">Werte</t>
  </si>
  <si>
    <t xml:space="preserve">ab</t>
  </si>
  <si>
    <t xml:space="preserve">Orig. Variable</t>
  </si>
  <si>
    <t xml:space="preserve">ID</t>
  </si>
  <si>
    <t xml:space="preserve">Antwort</t>
  </si>
  <si>
    <t xml:space="preserve">Zuord 1</t>
  </si>
  <si>
    <t xml:space="preserve">Verbatim?</t>
  </si>
  <si>
    <t xml:space="preserve">Zuordnungen?</t>
  </si>
  <si>
    <t xml:space="preserve">Ohne Zuordnung</t>
  </si>
  <si>
    <t xml:space="preserve">Zuord. ohne Verb.</t>
  </si>
  <si>
    <t xml:space="preserve">CalcV1</t>
  </si>
  <si>
    <t xml:space="preserve">CalcV2</t>
  </si>
  <si>
    <t xml:space="preserve">CalcV3</t>
  </si>
  <si>
    <t xml:space="preserve">Calc1 Zuord 1</t>
  </si>
  <si>
    <t xml:space="preserve">Calc2 Zuord 1</t>
  </si>
  <si>
    <t xml:space="preserve">Calc3 Zuord 1</t>
  </si>
  <si>
    <t xml:space="preserve">CalcN1</t>
  </si>
  <si>
    <t xml:space="preserve">CalcN2</t>
  </si>
  <si>
    <t xml:space="preserve">CalcN3</t>
  </si>
  <si>
    <t xml:space="preserve">q6</t>
  </si>
  <si>
    <t xml:space="preserve">bla love</t>
  </si>
  <si>
    <t xml:space="preserve">bla joy</t>
  </si>
  <si>
    <t xml:space="preserve">bla happiness</t>
  </si>
  <si>
    <t xml:space="preserve">bla bla love</t>
  </si>
  <si>
    <t xml:space="preserve">bla bla joy</t>
  </si>
  <si>
    <t xml:space="preserve">bla bla happiness</t>
  </si>
  <si>
    <t xml:space="preserve">bla bla bla love</t>
  </si>
  <si>
    <t xml:space="preserve">bla bla bla joy</t>
  </si>
  <si>
    <t xml:space="preserve">bla bla bla happiness</t>
  </si>
  <si>
    <t xml:space="preserve">Q7</t>
  </si>
  <si>
    <t xml:space="preserve">q7</t>
  </si>
  <si>
    <t xml:space="preserve">bla sadness</t>
  </si>
  <si>
    <t xml:space="preserve">bla pain</t>
  </si>
  <si>
    <t xml:space="preserve">bla fear</t>
  </si>
  <si>
    <t xml:space="preserve">bla bla sadness</t>
  </si>
  <si>
    <t xml:space="preserve">bla bla pain</t>
  </si>
  <si>
    <t xml:space="preserve">bla bla fear</t>
  </si>
  <si>
    <t xml:space="preserve">bla bla bla sadness</t>
  </si>
  <si>
    <t xml:space="preserve">bla bla bla pain</t>
  </si>
  <si>
    <t xml:space="preserve">bla bla bla fear</t>
  </si>
  <si>
    <t xml:space="preserve">bla bla bla anger</t>
  </si>
  <si>
    <t xml:space="preserve">bla bla anger</t>
  </si>
  <si>
    <t xml:space="preserve">bla anger</t>
  </si>
  <si>
    <t xml:space="preserve">q6mdg</t>
  </si>
  <si>
    <t xml:space="preserve">Zuord 2</t>
  </si>
  <si>
    <t xml:space="preserve">Zuord 3</t>
  </si>
  <si>
    <t xml:space="preserve">Zuord 4</t>
  </si>
  <si>
    <t xml:space="preserve">Zuord 5</t>
  </si>
  <si>
    <t xml:space="preserve">Zuord 6</t>
  </si>
  <si>
    <t xml:space="preserve">Zuord 7</t>
  </si>
  <si>
    <t xml:space="preserve">Zuord 8</t>
  </si>
  <si>
    <t xml:space="preserve">Zuord 9</t>
  </si>
  <si>
    <t xml:space="preserve">Zuord 10</t>
  </si>
  <si>
    <t xml:space="preserve">Calc1 Zuord 2</t>
  </si>
  <si>
    <t xml:space="preserve">Calc1 Zuord 3</t>
  </si>
  <si>
    <t xml:space="preserve">Calc1 Zuord 4</t>
  </si>
  <si>
    <t xml:space="preserve">Calc1 Zuord 5</t>
  </si>
  <si>
    <t xml:space="preserve">Calc1 Zuord 6</t>
  </si>
  <si>
    <t xml:space="preserve">Calc1 Zuord 7</t>
  </si>
  <si>
    <t xml:space="preserve">Calc1 Zuord 8</t>
  </si>
  <si>
    <t xml:space="preserve">Calc1 Zuord 9</t>
  </si>
  <si>
    <t xml:space="preserve">Calc1 Zuord 10</t>
  </si>
  <si>
    <t xml:space="preserve">Calc2 Zuord 2</t>
  </si>
  <si>
    <t xml:space="preserve">Calc2 Zuord 3</t>
  </si>
  <si>
    <t xml:space="preserve">Calc2 Zuord 4</t>
  </si>
  <si>
    <t xml:space="preserve">Calc2 Zuord 5</t>
  </si>
  <si>
    <t xml:space="preserve">Calc2 Zuord 6</t>
  </si>
  <si>
    <t xml:space="preserve">Calc2 Zuord 7</t>
  </si>
  <si>
    <t xml:space="preserve">Calc2 Zuord 8</t>
  </si>
  <si>
    <t xml:space="preserve">Calc2 Zuord 9</t>
  </si>
  <si>
    <t xml:space="preserve">Calc2 Zuord 10</t>
  </si>
  <si>
    <t xml:space="preserve">Calc3 Zuord 2</t>
  </si>
  <si>
    <t xml:space="preserve">Calc3 Zuord 3</t>
  </si>
  <si>
    <t xml:space="preserve">Calc3 Zuord 4</t>
  </si>
  <si>
    <t xml:space="preserve">Calc3 Zuord 5</t>
  </si>
  <si>
    <t xml:space="preserve">Calc3 Zuord 6</t>
  </si>
  <si>
    <t xml:space="preserve">Calc3 Zuord 7</t>
  </si>
  <si>
    <t xml:space="preserve">Calc3 Zuord 8</t>
  </si>
  <si>
    <t xml:space="preserve">Calc3 Zuord 9</t>
  </si>
  <si>
    <t xml:space="preserve">Calc3 Zuord 10</t>
  </si>
  <si>
    <t xml:space="preserve">q6_test</t>
  </si>
  <si>
    <t xml:space="preserve">THIS id value is not in the data!!!</t>
  </si>
  <si>
    <t xml:space="preserve">q6mcg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</si>
</sst>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8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1"/>
      <color rgb="FF0563C1"/>
      <name val="Arial"/>
      <family val="2"/>
      <charset val="1"/>
    </font>
    <font>
      <sz val="10"/>
      <color rgb="FFFFFFFF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8"/>
      <color rgb="FFBDD7EE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u val="single"/>
      <sz val="8"/>
      <color rgb="FF0563C1"/>
      <name val="Arial"/>
      <family val="2"/>
      <charset val="1"/>
    </font>
    <font>
      <b val="true"/>
      <sz val="8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8C8C8"/>
        <bgColor rgb="FFBDD7EE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C8C8C8"/>
      </patternFill>
    </fill>
    <fill>
      <patternFill patternType="solid">
        <fgColor rgb="FFE2F0D9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3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21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3" fillId="5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7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3" fillId="8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21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7" fillId="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7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7" fillId="6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1"/>
    <cellStyle name="*unknown*" xfId="20" builtinId="8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5" activeCellId="0" sqref="B5"/>
    </sheetView>
  </sheetViews>
  <sheetFormatPr defaultColWidth="11.43359375" defaultRowHeight="15" zeroHeight="false" outlineLevelRow="0" outlineLevelCol="0"/>
  <cols>
    <col collapsed="false" customWidth="false" hidden="false" outlineLevel="0" max="1024" min="1" style="1" width="11.42"/>
  </cols>
  <sheetData>
    <row r="1" s="2" customFormat="true" ht="15" hidden="false" customHeight="false" outlineLevel="0" collapsed="false">
      <c r="B1" s="3" t="str">
        <f aca="false">HYPERLINK("#'Q6'!D1","Q6")</f>
        <v>Q6</v>
      </c>
      <c r="C1" s="3" t="str">
        <f aca="false">HYPERLINK("#'Q7'!D1","Q7")</f>
        <v>Q7</v>
      </c>
      <c r="D1" s="3" t="str">
        <f aca="false">HYPERLINK("#'q6mdg'!D1","q6mdg")</f>
        <v>q6mdg</v>
      </c>
      <c r="E1" s="3" t="str">
        <f aca="false">HYPERLINK("#'q6mcg'!D1","q6mcg")</f>
        <v>q6mcg</v>
      </c>
    </row>
    <row r="2" customFormat="false" ht="15" hidden="false" customHeight="false" outlineLevel="0" collapsed="false">
      <c r="A2" s="0" t="n">
        <v>1</v>
      </c>
      <c r="B2" s="4" t="s">
        <v>0</v>
      </c>
      <c r="C2" s="4" t="s">
        <v>1</v>
      </c>
      <c r="D2" s="4" t="s">
        <v>0</v>
      </c>
      <c r="E2" s="4" t="s">
        <v>0</v>
      </c>
    </row>
    <row r="3" customFormat="false" ht="15" hidden="false" customHeight="false" outlineLevel="0" collapsed="false">
      <c r="A3" s="0" t="n">
        <f aca="false">A2+1</f>
        <v>2</v>
      </c>
      <c r="B3" s="4" t="s">
        <v>2</v>
      </c>
      <c r="C3" s="4" t="s">
        <v>3</v>
      </c>
      <c r="D3" s="4" t="s">
        <v>2</v>
      </c>
      <c r="E3" s="4" t="s">
        <v>2</v>
      </c>
    </row>
    <row r="4" customFormat="false" ht="15" hidden="false" customHeight="false" outlineLevel="0" collapsed="false">
      <c r="A4" s="0" t="n">
        <f aca="false">A3+1</f>
        <v>3</v>
      </c>
      <c r="B4" s="4" t="s">
        <v>4</v>
      </c>
      <c r="C4" s="4" t="s">
        <v>5</v>
      </c>
      <c r="D4" s="4" t="s">
        <v>6</v>
      </c>
      <c r="E4" s="4" t="s">
        <v>6</v>
      </c>
    </row>
    <row r="5" customFormat="false" ht="15" hidden="false" customHeight="false" outlineLevel="0" collapsed="false">
      <c r="A5" s="0" t="n">
        <f aca="false">A4+1</f>
        <v>4</v>
      </c>
      <c r="B5" s="4"/>
      <c r="C5" s="4" t="s">
        <v>7</v>
      </c>
      <c r="D5" s="4" t="s">
        <v>8</v>
      </c>
      <c r="E5" s="4" t="s">
        <v>8</v>
      </c>
    </row>
    <row r="6" customFormat="false" ht="15" hidden="false" customHeight="false" outlineLevel="0" collapsed="false">
      <c r="A6" s="0" t="n">
        <f aca="false">A5+1</f>
        <v>5</v>
      </c>
      <c r="B6" s="4" t="s">
        <v>9</v>
      </c>
      <c r="C6" s="4"/>
      <c r="D6" s="4"/>
      <c r="E6" s="4"/>
    </row>
    <row r="7" customFormat="false" ht="15" hidden="false" customHeight="false" outlineLevel="0" collapsed="false">
      <c r="A7" s="0" t="n">
        <f aca="false">A6+1</f>
        <v>6</v>
      </c>
      <c r="B7" s="4"/>
      <c r="C7" s="4"/>
      <c r="D7" s="4"/>
      <c r="E7" s="4"/>
    </row>
    <row r="8" customFormat="false" ht="15" hidden="false" customHeight="false" outlineLevel="0" collapsed="false">
      <c r="A8" s="0" t="n">
        <f aca="false">A7+1</f>
        <v>7</v>
      </c>
      <c r="B8" s="4"/>
      <c r="C8" s="4"/>
      <c r="D8" s="4"/>
      <c r="E8" s="4"/>
    </row>
    <row r="9" customFormat="false" ht="15" hidden="false" customHeight="false" outlineLevel="0" collapsed="false">
      <c r="A9" s="0" t="n">
        <f aca="false">A8+1</f>
        <v>8</v>
      </c>
      <c r="B9" s="4"/>
      <c r="C9" s="4"/>
      <c r="D9" s="4"/>
      <c r="E9" s="4"/>
    </row>
    <row r="10" customFormat="false" ht="15" hidden="false" customHeight="false" outlineLevel="0" collapsed="false">
      <c r="A10" s="0" t="n">
        <f aca="false">A9+1</f>
        <v>9</v>
      </c>
      <c r="B10" s="4"/>
      <c r="C10" s="4"/>
      <c r="D10" s="4"/>
      <c r="E10" s="4"/>
    </row>
    <row r="11" customFormat="false" ht="15" hidden="false" customHeight="false" outlineLevel="0" collapsed="false">
      <c r="A11" s="0" t="n">
        <f aca="false">A10+1</f>
        <v>10</v>
      </c>
      <c r="B11" s="4"/>
      <c r="C11" s="4"/>
      <c r="D11" s="4"/>
      <c r="E11" s="4"/>
    </row>
    <row r="12" customFormat="false" ht="15" hidden="false" customHeight="false" outlineLevel="0" collapsed="false">
      <c r="A12" s="0" t="n">
        <f aca="false">A11+1</f>
        <v>11</v>
      </c>
      <c r="B12" s="4"/>
      <c r="C12" s="4"/>
      <c r="D12" s="4"/>
      <c r="E12" s="4"/>
    </row>
    <row r="13" customFormat="false" ht="15" hidden="false" customHeight="false" outlineLevel="0" collapsed="false">
      <c r="A13" s="0" t="n">
        <f aca="false">A12+1</f>
        <v>12</v>
      </c>
      <c r="B13" s="4"/>
      <c r="C13" s="4"/>
      <c r="D13" s="4"/>
      <c r="E13" s="4"/>
    </row>
    <row r="14" customFormat="false" ht="15" hidden="false" customHeight="false" outlineLevel="0" collapsed="false">
      <c r="A14" s="0" t="n">
        <f aca="false">A13+1</f>
        <v>13</v>
      </c>
      <c r="B14" s="4"/>
      <c r="C14" s="4"/>
      <c r="D14" s="4"/>
      <c r="E14" s="4"/>
    </row>
    <row r="15" customFormat="false" ht="15" hidden="false" customHeight="false" outlineLevel="0" collapsed="false">
      <c r="A15" s="0" t="n">
        <f aca="false">A14+1</f>
        <v>14</v>
      </c>
      <c r="B15" s="4"/>
      <c r="C15" s="4"/>
      <c r="D15" s="4"/>
      <c r="E15" s="4"/>
    </row>
    <row r="16" customFormat="false" ht="15" hidden="false" customHeight="false" outlineLevel="0" collapsed="false">
      <c r="A16" s="0" t="n">
        <f aca="false">A15+1</f>
        <v>15</v>
      </c>
      <c r="B16" s="4"/>
      <c r="C16" s="4"/>
      <c r="D16" s="4"/>
      <c r="E16" s="4"/>
    </row>
    <row r="17" customFormat="false" ht="15" hidden="false" customHeight="false" outlineLevel="0" collapsed="false">
      <c r="A17" s="0" t="n">
        <f aca="false">A16+1</f>
        <v>16</v>
      </c>
      <c r="B17" s="4"/>
      <c r="C17" s="4"/>
      <c r="D17" s="4"/>
      <c r="E17" s="4"/>
    </row>
    <row r="18" customFormat="false" ht="15" hidden="false" customHeight="false" outlineLevel="0" collapsed="false">
      <c r="A18" s="0" t="n">
        <f aca="false">A17+1</f>
        <v>17</v>
      </c>
      <c r="B18" s="4"/>
      <c r="C18" s="4"/>
      <c r="D18" s="4"/>
      <c r="E18" s="4"/>
    </row>
    <row r="19" customFormat="false" ht="15" hidden="false" customHeight="false" outlineLevel="0" collapsed="false">
      <c r="A19" s="0" t="n">
        <f aca="false">A18+1</f>
        <v>18</v>
      </c>
      <c r="B19" s="4"/>
      <c r="C19" s="4"/>
      <c r="D19" s="4"/>
      <c r="E19" s="4"/>
    </row>
    <row r="20" customFormat="false" ht="15" hidden="false" customHeight="false" outlineLevel="0" collapsed="false">
      <c r="A20" s="0" t="n">
        <f aca="false">A19+1</f>
        <v>19</v>
      </c>
      <c r="B20" s="4"/>
      <c r="C20" s="4"/>
      <c r="D20" s="4"/>
      <c r="E20" s="4"/>
    </row>
    <row r="21" customFormat="false" ht="15" hidden="false" customHeight="false" outlineLevel="0" collapsed="false">
      <c r="A21" s="0" t="n">
        <f aca="false">A20+1</f>
        <v>20</v>
      </c>
      <c r="B21" s="4"/>
      <c r="C21" s="4"/>
      <c r="D21" s="4"/>
      <c r="E21" s="4"/>
    </row>
    <row r="22" customFormat="false" ht="15" hidden="false" customHeight="false" outlineLevel="0" collapsed="false">
      <c r="A22" s="0" t="n">
        <f aca="false">A21+1</f>
        <v>21</v>
      </c>
      <c r="B22" s="4"/>
      <c r="C22" s="4"/>
      <c r="D22" s="4"/>
      <c r="E22" s="4"/>
    </row>
    <row r="23" customFormat="false" ht="15" hidden="false" customHeight="false" outlineLevel="0" collapsed="false">
      <c r="A23" s="0" t="n">
        <f aca="false">A22+1</f>
        <v>22</v>
      </c>
      <c r="B23" s="4"/>
      <c r="C23" s="4"/>
      <c r="D23" s="4"/>
      <c r="E23" s="4"/>
    </row>
    <row r="24" customFormat="false" ht="15" hidden="false" customHeight="false" outlineLevel="0" collapsed="false">
      <c r="A24" s="0" t="n">
        <f aca="false">A23+1</f>
        <v>23</v>
      </c>
      <c r="B24" s="4"/>
      <c r="C24" s="4"/>
      <c r="D24" s="4"/>
      <c r="E24" s="4"/>
    </row>
    <row r="25" customFormat="false" ht="15" hidden="false" customHeight="false" outlineLevel="0" collapsed="false">
      <c r="A25" s="0" t="n">
        <f aca="false">A24+1</f>
        <v>24</v>
      </c>
      <c r="B25" s="4"/>
      <c r="C25" s="4"/>
      <c r="D25" s="4"/>
      <c r="E25" s="4"/>
    </row>
    <row r="26" customFormat="false" ht="15" hidden="false" customHeight="false" outlineLevel="0" collapsed="false">
      <c r="A26" s="0" t="n">
        <f aca="false">A25+1</f>
        <v>25</v>
      </c>
      <c r="B26" s="4"/>
      <c r="C26" s="4"/>
      <c r="D26" s="4"/>
      <c r="E26" s="4"/>
    </row>
    <row r="27" customFormat="false" ht="15" hidden="false" customHeight="false" outlineLevel="0" collapsed="false">
      <c r="A27" s="0" t="n">
        <f aca="false">A26+1</f>
        <v>26</v>
      </c>
      <c r="B27" s="4"/>
      <c r="C27" s="4"/>
      <c r="D27" s="4"/>
      <c r="E27" s="4"/>
    </row>
    <row r="28" customFormat="false" ht="15" hidden="false" customHeight="false" outlineLevel="0" collapsed="false">
      <c r="A28" s="0" t="n">
        <f aca="false">A27+1</f>
        <v>27</v>
      </c>
      <c r="B28" s="4"/>
      <c r="C28" s="4"/>
      <c r="D28" s="4"/>
      <c r="E28" s="4"/>
    </row>
    <row r="29" customFormat="false" ht="15" hidden="false" customHeight="false" outlineLevel="0" collapsed="false">
      <c r="A29" s="0" t="n">
        <f aca="false">A28+1</f>
        <v>28</v>
      </c>
      <c r="B29" s="4"/>
      <c r="C29" s="4"/>
      <c r="D29" s="4"/>
      <c r="E29" s="4"/>
    </row>
    <row r="30" customFormat="false" ht="15" hidden="false" customHeight="false" outlineLevel="0" collapsed="false">
      <c r="A30" s="0" t="n">
        <f aca="false">A29+1</f>
        <v>29</v>
      </c>
      <c r="B30" s="4"/>
      <c r="C30" s="4"/>
      <c r="D30" s="4"/>
      <c r="E30" s="4"/>
    </row>
    <row r="31" customFormat="false" ht="15" hidden="false" customHeight="false" outlineLevel="0" collapsed="false">
      <c r="A31" s="0" t="n">
        <f aca="false">A30+1</f>
        <v>30</v>
      </c>
      <c r="B31" s="4"/>
      <c r="C31" s="4"/>
      <c r="D31" s="4"/>
      <c r="E31" s="4"/>
    </row>
    <row r="32" customFormat="false" ht="15" hidden="false" customHeight="false" outlineLevel="0" collapsed="false">
      <c r="A32" s="0" t="n">
        <f aca="false">A31+1</f>
        <v>31</v>
      </c>
      <c r="B32" s="4"/>
      <c r="C32" s="4"/>
      <c r="D32" s="4"/>
      <c r="E32" s="4"/>
    </row>
    <row r="33" customFormat="false" ht="15" hidden="false" customHeight="false" outlineLevel="0" collapsed="false">
      <c r="A33" s="0" t="n">
        <f aca="false">A32+1</f>
        <v>32</v>
      </c>
      <c r="B33" s="4"/>
      <c r="C33" s="4"/>
      <c r="D33" s="4"/>
      <c r="E33" s="4"/>
    </row>
    <row r="34" customFormat="false" ht="15" hidden="false" customHeight="false" outlineLevel="0" collapsed="false">
      <c r="A34" s="0" t="n">
        <f aca="false">A33+1</f>
        <v>33</v>
      </c>
      <c r="B34" s="4"/>
      <c r="C34" s="4"/>
      <c r="D34" s="4"/>
      <c r="E34" s="4"/>
    </row>
    <row r="35" customFormat="false" ht="15" hidden="false" customHeight="false" outlineLevel="0" collapsed="false">
      <c r="A35" s="0" t="n">
        <f aca="false">A34+1</f>
        <v>34</v>
      </c>
      <c r="B35" s="4"/>
      <c r="C35" s="4"/>
      <c r="D35" s="4"/>
      <c r="E35" s="4"/>
    </row>
    <row r="36" customFormat="false" ht="15" hidden="false" customHeight="false" outlineLevel="0" collapsed="false">
      <c r="A36" s="0" t="n">
        <f aca="false">A35+1</f>
        <v>35</v>
      </c>
      <c r="B36" s="4"/>
      <c r="C36" s="4"/>
      <c r="D36" s="4"/>
      <c r="E36" s="4"/>
    </row>
    <row r="37" customFormat="false" ht="15" hidden="false" customHeight="false" outlineLevel="0" collapsed="false">
      <c r="A37" s="0" t="n">
        <f aca="false">A36+1</f>
        <v>36</v>
      </c>
      <c r="B37" s="4"/>
      <c r="C37" s="4"/>
      <c r="D37" s="4"/>
      <c r="E37" s="4"/>
    </row>
    <row r="38" customFormat="false" ht="15" hidden="false" customHeight="false" outlineLevel="0" collapsed="false">
      <c r="A38" s="0" t="n">
        <f aca="false">A37+1</f>
        <v>37</v>
      </c>
      <c r="B38" s="4"/>
      <c r="C38" s="4"/>
      <c r="D38" s="4"/>
      <c r="E38" s="4"/>
    </row>
    <row r="39" customFormat="false" ht="15" hidden="false" customHeight="false" outlineLevel="0" collapsed="false">
      <c r="A39" s="0" t="n">
        <f aca="false">A38+1</f>
        <v>38</v>
      </c>
      <c r="B39" s="4"/>
      <c r="C39" s="4"/>
      <c r="D39" s="4"/>
      <c r="E39" s="4"/>
    </row>
    <row r="40" customFormat="false" ht="15" hidden="false" customHeight="false" outlineLevel="0" collapsed="false">
      <c r="A40" s="0" t="n">
        <f aca="false">A39+1</f>
        <v>39</v>
      </c>
      <c r="B40" s="4"/>
      <c r="C40" s="4"/>
      <c r="D40" s="4"/>
      <c r="E40" s="4"/>
    </row>
    <row r="41" customFormat="false" ht="15" hidden="false" customHeight="false" outlineLevel="0" collapsed="false">
      <c r="A41" s="0" t="n">
        <f aca="false">A40+1</f>
        <v>40</v>
      </c>
      <c r="B41" s="4"/>
      <c r="C41" s="4"/>
      <c r="D41" s="4"/>
      <c r="E41" s="4"/>
    </row>
    <row r="42" customFormat="false" ht="15" hidden="false" customHeight="false" outlineLevel="0" collapsed="false">
      <c r="A42" s="0" t="n">
        <f aca="false">A41+1</f>
        <v>41</v>
      </c>
      <c r="B42" s="4"/>
      <c r="C42" s="4"/>
      <c r="D42" s="4"/>
      <c r="E42" s="4"/>
    </row>
    <row r="43" customFormat="false" ht="15" hidden="false" customHeight="false" outlineLevel="0" collapsed="false">
      <c r="A43" s="0" t="n">
        <f aca="false">A42+1</f>
        <v>42</v>
      </c>
      <c r="B43" s="4"/>
      <c r="C43" s="4"/>
      <c r="D43" s="4"/>
      <c r="E43" s="4"/>
    </row>
    <row r="44" customFormat="false" ht="15" hidden="false" customHeight="false" outlineLevel="0" collapsed="false">
      <c r="A44" s="0" t="n">
        <f aca="false">A43+1</f>
        <v>43</v>
      </c>
      <c r="B44" s="4"/>
      <c r="C44" s="4"/>
      <c r="D44" s="4"/>
      <c r="E44" s="4"/>
    </row>
    <row r="45" customFormat="false" ht="15" hidden="false" customHeight="false" outlineLevel="0" collapsed="false">
      <c r="A45" s="0" t="n">
        <f aca="false">A44+1</f>
        <v>44</v>
      </c>
      <c r="B45" s="4"/>
      <c r="C45" s="4"/>
      <c r="D45" s="4"/>
      <c r="E45" s="4"/>
    </row>
    <row r="46" customFormat="false" ht="15" hidden="false" customHeight="false" outlineLevel="0" collapsed="false">
      <c r="A46" s="0" t="n">
        <f aca="false">A45+1</f>
        <v>45</v>
      </c>
      <c r="B46" s="4"/>
      <c r="C46" s="4"/>
      <c r="D46" s="4"/>
      <c r="E46" s="4"/>
    </row>
    <row r="47" customFormat="false" ht="15" hidden="false" customHeight="false" outlineLevel="0" collapsed="false">
      <c r="A47" s="0" t="n">
        <f aca="false">A46+1</f>
        <v>46</v>
      </c>
      <c r="B47" s="4"/>
      <c r="C47" s="4"/>
      <c r="D47" s="4"/>
      <c r="E47" s="4"/>
    </row>
    <row r="48" customFormat="false" ht="15" hidden="false" customHeight="false" outlineLevel="0" collapsed="false">
      <c r="A48" s="0" t="n">
        <f aca="false">A47+1</f>
        <v>47</v>
      </c>
      <c r="B48" s="4"/>
      <c r="C48" s="4"/>
      <c r="D48" s="4"/>
      <c r="E48" s="4"/>
    </row>
    <row r="49" customFormat="false" ht="15" hidden="false" customHeight="false" outlineLevel="0" collapsed="false">
      <c r="A49" s="0" t="n">
        <f aca="false">A48+1</f>
        <v>48</v>
      </c>
      <c r="B49" s="4"/>
      <c r="C49" s="4"/>
      <c r="D49" s="4"/>
      <c r="E49" s="4"/>
    </row>
    <row r="50" customFormat="false" ht="15" hidden="false" customHeight="false" outlineLevel="0" collapsed="false">
      <c r="A50" s="0" t="n">
        <f aca="false">A49+1</f>
        <v>49</v>
      </c>
      <c r="B50" s="4"/>
      <c r="C50" s="4"/>
      <c r="D50" s="4"/>
      <c r="E50" s="4"/>
    </row>
    <row r="51" customFormat="false" ht="15" hidden="false" customHeight="false" outlineLevel="0" collapsed="false">
      <c r="A51" s="0" t="n">
        <f aca="false">A50+1</f>
        <v>50</v>
      </c>
      <c r="B51" s="4"/>
      <c r="C51" s="4"/>
      <c r="D51" s="4"/>
      <c r="E51" s="4"/>
    </row>
    <row r="52" customFormat="false" ht="15" hidden="false" customHeight="false" outlineLevel="0" collapsed="false">
      <c r="A52" s="0" t="n">
        <f aca="false">A51+1</f>
        <v>51</v>
      </c>
      <c r="B52" s="4"/>
      <c r="C52" s="4"/>
      <c r="D52" s="4"/>
      <c r="E52" s="4"/>
    </row>
    <row r="53" customFormat="false" ht="15" hidden="false" customHeight="false" outlineLevel="0" collapsed="false">
      <c r="A53" s="0" t="n">
        <f aca="false">A52+1</f>
        <v>52</v>
      </c>
      <c r="B53" s="4"/>
      <c r="C53" s="4"/>
      <c r="D53" s="4"/>
      <c r="E53" s="4"/>
    </row>
    <row r="54" customFormat="false" ht="15" hidden="false" customHeight="false" outlineLevel="0" collapsed="false">
      <c r="A54" s="0" t="n">
        <f aca="false">A53+1</f>
        <v>53</v>
      </c>
      <c r="B54" s="4"/>
      <c r="C54" s="4"/>
      <c r="D54" s="4"/>
      <c r="E54" s="4"/>
    </row>
    <row r="55" customFormat="false" ht="15" hidden="false" customHeight="false" outlineLevel="0" collapsed="false">
      <c r="A55" s="0" t="n">
        <f aca="false">A54+1</f>
        <v>54</v>
      </c>
      <c r="B55" s="4"/>
      <c r="C55" s="4"/>
      <c r="D55" s="4"/>
      <c r="E55" s="4"/>
    </row>
    <row r="56" customFormat="false" ht="15" hidden="false" customHeight="false" outlineLevel="0" collapsed="false">
      <c r="A56" s="0" t="n">
        <f aca="false">A55+1</f>
        <v>55</v>
      </c>
      <c r="B56" s="4"/>
      <c r="C56" s="4"/>
      <c r="D56" s="4"/>
      <c r="E56" s="4"/>
    </row>
    <row r="57" customFormat="false" ht="15" hidden="false" customHeight="false" outlineLevel="0" collapsed="false">
      <c r="A57" s="0" t="n">
        <f aca="false">A56+1</f>
        <v>56</v>
      </c>
      <c r="B57" s="4"/>
      <c r="C57" s="4"/>
      <c r="D57" s="4"/>
      <c r="E57" s="4"/>
    </row>
    <row r="58" customFormat="false" ht="15" hidden="false" customHeight="false" outlineLevel="0" collapsed="false">
      <c r="A58" s="0" t="n">
        <f aca="false">A57+1</f>
        <v>57</v>
      </c>
      <c r="B58" s="4"/>
      <c r="C58" s="4"/>
      <c r="D58" s="4"/>
      <c r="E58" s="4"/>
    </row>
    <row r="59" customFormat="false" ht="15" hidden="false" customHeight="false" outlineLevel="0" collapsed="false">
      <c r="A59" s="0" t="n">
        <f aca="false">A58+1</f>
        <v>58</v>
      </c>
      <c r="B59" s="4"/>
      <c r="C59" s="4"/>
      <c r="D59" s="4"/>
      <c r="E59" s="4"/>
    </row>
    <row r="60" customFormat="false" ht="15" hidden="false" customHeight="false" outlineLevel="0" collapsed="false">
      <c r="A60" s="0" t="n">
        <f aca="false">A59+1</f>
        <v>59</v>
      </c>
      <c r="B60" s="4"/>
      <c r="C60" s="4"/>
      <c r="D60" s="4"/>
      <c r="E60" s="4"/>
    </row>
    <row r="61" customFormat="false" ht="15" hidden="false" customHeight="false" outlineLevel="0" collapsed="false">
      <c r="A61" s="0" t="n">
        <f aca="false">A60+1</f>
        <v>60</v>
      </c>
      <c r="B61" s="4"/>
      <c r="C61" s="4"/>
      <c r="D61" s="4"/>
      <c r="E61" s="4"/>
    </row>
    <row r="62" customFormat="false" ht="15" hidden="false" customHeight="false" outlineLevel="0" collapsed="false">
      <c r="A62" s="0" t="n">
        <f aca="false">A61+1</f>
        <v>61</v>
      </c>
      <c r="B62" s="4"/>
      <c r="C62" s="4"/>
      <c r="D62" s="4"/>
      <c r="E62" s="4"/>
    </row>
    <row r="63" customFormat="false" ht="15" hidden="false" customHeight="false" outlineLevel="0" collapsed="false">
      <c r="A63" s="0" t="n">
        <f aca="false">A62+1</f>
        <v>62</v>
      </c>
      <c r="B63" s="4"/>
      <c r="C63" s="4"/>
      <c r="D63" s="4"/>
      <c r="E63" s="4"/>
    </row>
    <row r="64" customFormat="false" ht="15" hidden="false" customHeight="false" outlineLevel="0" collapsed="false">
      <c r="A64" s="0" t="n">
        <f aca="false">A63+1</f>
        <v>63</v>
      </c>
      <c r="B64" s="4"/>
      <c r="C64" s="4"/>
      <c r="D64" s="4"/>
      <c r="E64" s="4"/>
    </row>
    <row r="65" customFormat="false" ht="15" hidden="false" customHeight="false" outlineLevel="0" collapsed="false">
      <c r="A65" s="0" t="n">
        <f aca="false">A64+1</f>
        <v>64</v>
      </c>
      <c r="B65" s="4"/>
      <c r="C65" s="4"/>
      <c r="D65" s="4"/>
      <c r="E65" s="4"/>
    </row>
    <row r="66" customFormat="false" ht="15" hidden="false" customHeight="false" outlineLevel="0" collapsed="false">
      <c r="A66" s="0" t="n">
        <f aca="false">A65+1</f>
        <v>65</v>
      </c>
      <c r="B66" s="4"/>
      <c r="C66" s="4"/>
      <c r="D66" s="4"/>
      <c r="E66" s="4"/>
    </row>
    <row r="67" customFormat="false" ht="15" hidden="false" customHeight="false" outlineLevel="0" collapsed="false">
      <c r="A67" s="0" t="n">
        <f aca="false">A66+1</f>
        <v>66</v>
      </c>
      <c r="B67" s="4"/>
      <c r="C67" s="4"/>
      <c r="D67" s="4"/>
      <c r="E67" s="4"/>
    </row>
    <row r="68" customFormat="false" ht="15" hidden="false" customHeight="false" outlineLevel="0" collapsed="false">
      <c r="A68" s="0" t="n">
        <f aca="false">A67+1</f>
        <v>67</v>
      </c>
      <c r="B68" s="4"/>
      <c r="C68" s="4"/>
      <c r="D68" s="4"/>
      <c r="E68" s="4"/>
    </row>
    <row r="69" customFormat="false" ht="15" hidden="false" customHeight="false" outlineLevel="0" collapsed="false">
      <c r="A69" s="0" t="n">
        <f aca="false">A68+1</f>
        <v>68</v>
      </c>
      <c r="B69" s="4"/>
      <c r="C69" s="4"/>
      <c r="D69" s="4"/>
      <c r="E69" s="4"/>
    </row>
    <row r="70" customFormat="false" ht="15" hidden="false" customHeight="false" outlineLevel="0" collapsed="false">
      <c r="A70" s="0" t="n">
        <f aca="false">A69+1</f>
        <v>69</v>
      </c>
      <c r="B70" s="4"/>
      <c r="C70" s="4"/>
      <c r="D70" s="4"/>
      <c r="E70" s="4"/>
    </row>
    <row r="71" customFormat="false" ht="15" hidden="false" customHeight="false" outlineLevel="0" collapsed="false">
      <c r="A71" s="0" t="n">
        <f aca="false">A70+1</f>
        <v>70</v>
      </c>
      <c r="B71" s="4"/>
      <c r="C71" s="4"/>
      <c r="D71" s="4"/>
      <c r="E71" s="4"/>
    </row>
    <row r="72" customFormat="false" ht="15" hidden="false" customHeight="false" outlineLevel="0" collapsed="false">
      <c r="A72" s="0" t="n">
        <f aca="false">A71+1</f>
        <v>71</v>
      </c>
      <c r="B72" s="4"/>
      <c r="C72" s="4"/>
      <c r="D72" s="4"/>
      <c r="E72" s="4"/>
    </row>
    <row r="73" customFormat="false" ht="15" hidden="false" customHeight="false" outlineLevel="0" collapsed="false">
      <c r="A73" s="0" t="n">
        <f aca="false">A72+1</f>
        <v>72</v>
      </c>
      <c r="B73" s="4"/>
      <c r="C73" s="4"/>
      <c r="D73" s="4"/>
      <c r="E73" s="4"/>
    </row>
    <row r="74" customFormat="false" ht="15" hidden="false" customHeight="false" outlineLevel="0" collapsed="false">
      <c r="A74" s="0" t="n">
        <f aca="false">A73+1</f>
        <v>73</v>
      </c>
      <c r="B74" s="4"/>
      <c r="C74" s="4"/>
      <c r="D74" s="4"/>
      <c r="E74" s="4"/>
    </row>
    <row r="75" customFormat="false" ht="15" hidden="false" customHeight="false" outlineLevel="0" collapsed="false">
      <c r="A75" s="0" t="n">
        <f aca="false">A74+1</f>
        <v>74</v>
      </c>
      <c r="B75" s="4"/>
      <c r="C75" s="4"/>
      <c r="D75" s="4"/>
      <c r="E75" s="4"/>
    </row>
    <row r="76" customFormat="false" ht="15" hidden="false" customHeight="false" outlineLevel="0" collapsed="false">
      <c r="A76" s="0" t="n">
        <f aca="false">A75+1</f>
        <v>75</v>
      </c>
      <c r="B76" s="4"/>
      <c r="C76" s="4"/>
      <c r="D76" s="4"/>
      <c r="E76" s="4"/>
    </row>
    <row r="77" customFormat="false" ht="15" hidden="false" customHeight="false" outlineLevel="0" collapsed="false">
      <c r="A77" s="0" t="n">
        <f aca="false">A76+1</f>
        <v>76</v>
      </c>
      <c r="B77" s="4"/>
      <c r="C77" s="4"/>
      <c r="D77" s="4"/>
      <c r="E77" s="4"/>
    </row>
    <row r="78" customFormat="false" ht="15" hidden="false" customHeight="false" outlineLevel="0" collapsed="false">
      <c r="A78" s="0" t="n">
        <f aca="false">A77+1</f>
        <v>77</v>
      </c>
      <c r="B78" s="4"/>
      <c r="C78" s="4"/>
      <c r="D78" s="4"/>
      <c r="E78" s="4"/>
    </row>
    <row r="79" customFormat="false" ht="15" hidden="false" customHeight="false" outlineLevel="0" collapsed="false">
      <c r="A79" s="0" t="n">
        <f aca="false">A78+1</f>
        <v>78</v>
      </c>
      <c r="B79" s="4"/>
      <c r="C79" s="4"/>
      <c r="D79" s="4"/>
      <c r="E79" s="4"/>
    </row>
    <row r="80" customFormat="false" ht="15" hidden="false" customHeight="false" outlineLevel="0" collapsed="false">
      <c r="A80" s="0" t="n">
        <f aca="false">A79+1</f>
        <v>79</v>
      </c>
      <c r="B80" s="4"/>
      <c r="C80" s="4"/>
      <c r="D80" s="4"/>
      <c r="E80" s="4"/>
    </row>
    <row r="81" customFormat="false" ht="15" hidden="false" customHeight="false" outlineLevel="0" collapsed="false">
      <c r="A81" s="0" t="n">
        <f aca="false">A80+1</f>
        <v>80</v>
      </c>
      <c r="B81" s="4"/>
      <c r="C81" s="4"/>
      <c r="D81" s="4"/>
      <c r="E81" s="4"/>
    </row>
    <row r="82" customFormat="false" ht="15" hidden="false" customHeight="false" outlineLevel="0" collapsed="false">
      <c r="A82" s="0" t="n">
        <f aca="false">A81+1</f>
        <v>81</v>
      </c>
      <c r="B82" s="4"/>
      <c r="C82" s="4"/>
      <c r="D82" s="4"/>
      <c r="E82" s="4"/>
    </row>
    <row r="83" customFormat="false" ht="15" hidden="false" customHeight="false" outlineLevel="0" collapsed="false">
      <c r="A83" s="0" t="n">
        <f aca="false">A82+1</f>
        <v>82</v>
      </c>
      <c r="B83" s="4"/>
      <c r="C83" s="4"/>
      <c r="D83" s="4"/>
      <c r="E83" s="4"/>
    </row>
    <row r="84" customFormat="false" ht="15" hidden="false" customHeight="false" outlineLevel="0" collapsed="false">
      <c r="A84" s="0" t="n">
        <f aca="false">A83+1</f>
        <v>83</v>
      </c>
      <c r="B84" s="4"/>
      <c r="C84" s="4"/>
      <c r="D84" s="4"/>
      <c r="E84" s="4"/>
    </row>
    <row r="85" customFormat="false" ht="15" hidden="false" customHeight="false" outlineLevel="0" collapsed="false">
      <c r="A85" s="0" t="n">
        <f aca="false">A84+1</f>
        <v>84</v>
      </c>
      <c r="B85" s="4"/>
      <c r="C85" s="4"/>
      <c r="D85" s="4"/>
      <c r="E85" s="4"/>
    </row>
    <row r="86" customFormat="false" ht="15" hidden="false" customHeight="false" outlineLevel="0" collapsed="false">
      <c r="A86" s="0" t="n">
        <f aca="false">A85+1</f>
        <v>85</v>
      </c>
      <c r="B86" s="4"/>
      <c r="C86" s="4"/>
      <c r="D86" s="4"/>
      <c r="E86" s="4"/>
    </row>
    <row r="87" customFormat="false" ht="15" hidden="false" customHeight="false" outlineLevel="0" collapsed="false">
      <c r="A87" s="0" t="n">
        <f aca="false">A86+1</f>
        <v>86</v>
      </c>
      <c r="B87" s="4"/>
      <c r="C87" s="4"/>
      <c r="D87" s="4"/>
      <c r="E87" s="4"/>
    </row>
    <row r="88" customFormat="false" ht="15" hidden="false" customHeight="false" outlineLevel="0" collapsed="false">
      <c r="A88" s="0" t="n">
        <f aca="false">A87+1</f>
        <v>87</v>
      </c>
      <c r="B88" s="4"/>
      <c r="C88" s="4"/>
      <c r="D88" s="4"/>
      <c r="E88" s="4"/>
    </row>
    <row r="89" customFormat="false" ht="15" hidden="false" customHeight="false" outlineLevel="0" collapsed="false">
      <c r="A89" s="0" t="n">
        <f aca="false">A88+1</f>
        <v>88</v>
      </c>
      <c r="B89" s="4"/>
      <c r="C89" s="4"/>
      <c r="D89" s="4"/>
      <c r="E89" s="4"/>
    </row>
    <row r="90" customFormat="false" ht="15" hidden="false" customHeight="false" outlineLevel="0" collapsed="false">
      <c r="A90" s="0" t="n">
        <f aca="false">A89+1</f>
        <v>89</v>
      </c>
      <c r="B90" s="4"/>
      <c r="C90" s="4"/>
      <c r="D90" s="4"/>
      <c r="E90" s="4"/>
    </row>
    <row r="91" customFormat="false" ht="15" hidden="false" customHeight="false" outlineLevel="0" collapsed="false">
      <c r="A91" s="0" t="n">
        <f aca="false">A90+1</f>
        <v>90</v>
      </c>
      <c r="B91" s="4"/>
      <c r="C91" s="4"/>
      <c r="D91" s="4"/>
      <c r="E91" s="4"/>
    </row>
    <row r="92" customFormat="false" ht="15" hidden="false" customHeight="false" outlineLevel="0" collapsed="false">
      <c r="A92" s="0" t="n">
        <f aca="false">A91+1</f>
        <v>91</v>
      </c>
      <c r="B92" s="4"/>
      <c r="C92" s="4"/>
      <c r="D92" s="4"/>
      <c r="E92" s="4"/>
    </row>
    <row r="93" customFormat="false" ht="15" hidden="false" customHeight="false" outlineLevel="0" collapsed="false">
      <c r="A93" s="0" t="n">
        <f aca="false">A92+1</f>
        <v>92</v>
      </c>
      <c r="B93" s="4"/>
      <c r="C93" s="4"/>
      <c r="D93" s="4"/>
      <c r="E93" s="4"/>
    </row>
    <row r="94" customFormat="false" ht="15" hidden="false" customHeight="false" outlineLevel="0" collapsed="false">
      <c r="A94" s="0" t="n">
        <f aca="false">A93+1</f>
        <v>93</v>
      </c>
      <c r="B94" s="4"/>
      <c r="C94" s="4"/>
      <c r="D94" s="4"/>
      <c r="E94" s="4"/>
    </row>
    <row r="95" customFormat="false" ht="15" hidden="false" customHeight="false" outlineLevel="0" collapsed="false">
      <c r="A95" s="0" t="n">
        <f aca="false">A94+1</f>
        <v>94</v>
      </c>
      <c r="B95" s="4"/>
      <c r="C95" s="4"/>
      <c r="D95" s="4"/>
      <c r="E95" s="4"/>
    </row>
    <row r="96" customFormat="false" ht="15" hidden="false" customHeight="false" outlineLevel="0" collapsed="false">
      <c r="A96" s="0" t="n">
        <f aca="false">A95+1</f>
        <v>95</v>
      </c>
      <c r="B96" s="4"/>
      <c r="C96" s="4"/>
      <c r="D96" s="4"/>
      <c r="E96" s="4"/>
    </row>
    <row r="97" customFormat="false" ht="15" hidden="false" customHeight="false" outlineLevel="0" collapsed="false">
      <c r="A97" s="0" t="n">
        <f aca="false">A96+1</f>
        <v>96</v>
      </c>
      <c r="B97" s="4"/>
      <c r="C97" s="4"/>
      <c r="D97" s="4"/>
      <c r="E97" s="4"/>
    </row>
    <row r="98" customFormat="false" ht="13.8" hidden="false" customHeight="false" outlineLevel="0" collapsed="false">
      <c r="A98" s="0" t="n">
        <f aca="false">A97+1</f>
        <v>97</v>
      </c>
      <c r="B98" s="5" t="s">
        <v>10</v>
      </c>
      <c r="C98" s="5" t="s">
        <v>10</v>
      </c>
      <c r="D98" s="5" t="s">
        <v>10</v>
      </c>
      <c r="E98" s="5" t="s">
        <v>10</v>
      </c>
    </row>
    <row r="99" customFormat="false" ht="13.8" hidden="false" customHeight="false" outlineLevel="0" collapsed="false">
      <c r="A99" s="0" t="n">
        <f aca="false">A98+1</f>
        <v>98</v>
      </c>
      <c r="B99" s="5"/>
      <c r="C99" s="5"/>
      <c r="D99" s="5"/>
      <c r="E99" s="5"/>
    </row>
    <row r="100" customFormat="false" ht="13.8" hidden="false" customHeight="false" outlineLevel="0" collapsed="false">
      <c r="A100" s="0" t="n">
        <f aca="false">A99+1</f>
        <v>99</v>
      </c>
      <c r="B100" s="5" t="s">
        <v>11</v>
      </c>
      <c r="C100" s="5" t="s">
        <v>11</v>
      </c>
      <c r="D100" s="5" t="s">
        <v>11</v>
      </c>
      <c r="E100" s="5" t="s">
        <v>11</v>
      </c>
    </row>
    <row r="101" customFormat="false" ht="15" hidden="false" customHeight="false" outlineLevel="0" collapsed="false">
      <c r="A101" s="0" t="n">
        <f aca="false">A100+1</f>
        <v>100</v>
      </c>
    </row>
    <row r="102" customFormat="false" ht="15" hidden="false" customHeight="false" outlineLevel="0" collapsed="false">
      <c r="A102" s="0" t="n">
        <f aca="false">A101+1</f>
        <v>101</v>
      </c>
    </row>
    <row r="103" customFormat="false" ht="15" hidden="false" customHeight="false" outlineLevel="0" collapsed="false">
      <c r="A103" s="0" t="n">
        <f aca="false">A102+1</f>
        <v>102</v>
      </c>
    </row>
    <row r="104" customFormat="false" ht="15" hidden="false" customHeight="false" outlineLevel="0" collapsed="false">
      <c r="A104" s="0" t="n">
        <f aca="false">A103+1</f>
        <v>103</v>
      </c>
    </row>
    <row r="105" customFormat="false" ht="15" hidden="false" customHeight="false" outlineLevel="0" collapsed="false">
      <c r="A105" s="0" t="n">
        <f aca="false">A104+1</f>
        <v>104</v>
      </c>
    </row>
    <row r="106" customFormat="false" ht="15" hidden="false" customHeight="false" outlineLevel="0" collapsed="false">
      <c r="A106" s="0" t="n">
        <f aca="false">A105+1</f>
        <v>105</v>
      </c>
    </row>
    <row r="107" customFormat="false" ht="15" hidden="false" customHeight="false" outlineLevel="0" collapsed="false">
      <c r="A107" s="0" t="n">
        <f aca="false">A106+1</f>
        <v>106</v>
      </c>
    </row>
    <row r="108" customFormat="false" ht="15" hidden="false" customHeight="false" outlineLevel="0" collapsed="false">
      <c r="A108" s="0" t="n">
        <f aca="false">A107+1</f>
        <v>107</v>
      </c>
    </row>
    <row r="109" customFormat="false" ht="15" hidden="false" customHeight="false" outlineLevel="0" collapsed="false">
      <c r="A109" s="0" t="n">
        <f aca="false">A108+1</f>
        <v>108</v>
      </c>
    </row>
    <row r="110" customFormat="false" ht="15" hidden="false" customHeight="false" outlineLevel="0" collapsed="false">
      <c r="A110" s="0" t="n">
        <f aca="false">A109+1</f>
        <v>109</v>
      </c>
    </row>
    <row r="111" customFormat="false" ht="15" hidden="false" customHeight="false" outlineLevel="0" collapsed="false">
      <c r="A111" s="0" t="n">
        <f aca="false">A110+1</f>
        <v>110</v>
      </c>
    </row>
    <row r="112" customFormat="false" ht="15" hidden="false" customHeight="false" outlineLevel="0" collapsed="false">
      <c r="A112" s="0" t="n">
        <f aca="false">A111+1</f>
        <v>111</v>
      </c>
    </row>
    <row r="113" customFormat="false" ht="15" hidden="false" customHeight="false" outlineLevel="0" collapsed="false">
      <c r="A113" s="0" t="n">
        <f aca="false">A112+1</f>
        <v>112</v>
      </c>
    </row>
    <row r="114" customFormat="false" ht="15" hidden="false" customHeight="false" outlineLevel="0" collapsed="false">
      <c r="A114" s="0" t="n">
        <f aca="false">A113+1</f>
        <v>113</v>
      </c>
    </row>
    <row r="115" customFormat="false" ht="15" hidden="false" customHeight="false" outlineLevel="0" collapsed="false">
      <c r="A115" s="0" t="n">
        <f aca="false">A114+1</f>
        <v>114</v>
      </c>
    </row>
    <row r="116" customFormat="false" ht="15" hidden="false" customHeight="false" outlineLevel="0" collapsed="false">
      <c r="A116" s="0" t="n">
        <f aca="false">A115+1</f>
        <v>115</v>
      </c>
    </row>
    <row r="117" customFormat="false" ht="15" hidden="false" customHeight="false" outlineLevel="0" collapsed="false">
      <c r="A117" s="0" t="n">
        <f aca="false">A116+1</f>
        <v>116</v>
      </c>
    </row>
    <row r="118" customFormat="false" ht="15" hidden="false" customHeight="false" outlineLevel="0" collapsed="false">
      <c r="A118" s="0" t="n">
        <f aca="false">A117+1</f>
        <v>117</v>
      </c>
    </row>
    <row r="119" customFormat="false" ht="15" hidden="false" customHeight="false" outlineLevel="0" collapsed="false">
      <c r="A119" s="0" t="n">
        <f aca="false">A118+1</f>
        <v>118</v>
      </c>
    </row>
    <row r="120" customFormat="false" ht="15" hidden="false" customHeight="false" outlineLevel="0" collapsed="false">
      <c r="A120" s="0" t="n">
        <f aca="false">A119+1</f>
        <v>119</v>
      </c>
    </row>
    <row r="121" customFormat="false" ht="15" hidden="false" customHeight="false" outlineLevel="0" collapsed="false">
      <c r="A121" s="0" t="n">
        <f aca="false">A120+1</f>
        <v>120</v>
      </c>
    </row>
    <row r="122" customFormat="false" ht="15" hidden="false" customHeight="false" outlineLevel="0" collapsed="false">
      <c r="A122" s="0" t="n">
        <f aca="false">A121+1</f>
        <v>121</v>
      </c>
    </row>
    <row r="123" customFormat="false" ht="15" hidden="false" customHeight="false" outlineLevel="0" collapsed="false">
      <c r="A123" s="0" t="n">
        <f aca="false">A122+1</f>
        <v>122</v>
      </c>
    </row>
    <row r="124" customFormat="false" ht="15" hidden="false" customHeight="false" outlineLevel="0" collapsed="false">
      <c r="A124" s="0" t="n">
        <f aca="false">A123+1</f>
        <v>123</v>
      </c>
    </row>
    <row r="125" customFormat="false" ht="15" hidden="false" customHeight="false" outlineLevel="0" collapsed="false">
      <c r="A125" s="0" t="n">
        <f aca="false">A124+1</f>
        <v>124</v>
      </c>
    </row>
    <row r="126" customFormat="false" ht="15" hidden="false" customHeight="false" outlineLevel="0" collapsed="false">
      <c r="A126" s="0" t="n">
        <f aca="false">A125+1</f>
        <v>125</v>
      </c>
    </row>
    <row r="127" customFormat="false" ht="15" hidden="false" customHeight="false" outlineLevel="0" collapsed="false">
      <c r="A127" s="0" t="n">
        <f aca="false">A126+1</f>
        <v>126</v>
      </c>
    </row>
    <row r="128" customFormat="false" ht="15" hidden="false" customHeight="false" outlineLevel="0" collapsed="false">
      <c r="A128" s="0" t="n">
        <f aca="false">A127+1</f>
        <v>127</v>
      </c>
    </row>
    <row r="129" customFormat="false" ht="15" hidden="false" customHeight="false" outlineLevel="0" collapsed="false">
      <c r="A129" s="0" t="n">
        <f aca="false">A128+1</f>
        <v>128</v>
      </c>
    </row>
    <row r="130" customFormat="false" ht="15" hidden="false" customHeight="false" outlineLevel="0" collapsed="false">
      <c r="A130" s="0" t="n">
        <f aca="false">A129+1</f>
        <v>129</v>
      </c>
    </row>
    <row r="131" customFormat="false" ht="15" hidden="false" customHeight="false" outlineLevel="0" collapsed="false">
      <c r="A131" s="0" t="n">
        <f aca="false">A130+1</f>
        <v>130</v>
      </c>
    </row>
    <row r="132" customFormat="false" ht="15" hidden="false" customHeight="false" outlineLevel="0" collapsed="false">
      <c r="A132" s="0" t="n">
        <f aca="false">A131+1</f>
        <v>131</v>
      </c>
    </row>
    <row r="133" customFormat="false" ht="15" hidden="false" customHeight="false" outlineLevel="0" collapsed="false">
      <c r="A133" s="0" t="n">
        <f aca="false">A132+1</f>
        <v>132</v>
      </c>
    </row>
    <row r="134" customFormat="false" ht="15" hidden="false" customHeight="false" outlineLevel="0" collapsed="false">
      <c r="A134" s="0" t="n">
        <f aca="false">A133+1</f>
        <v>133</v>
      </c>
    </row>
    <row r="135" customFormat="false" ht="15" hidden="false" customHeight="false" outlineLevel="0" collapsed="false">
      <c r="A135" s="0" t="n">
        <f aca="false">A134+1</f>
        <v>134</v>
      </c>
    </row>
    <row r="136" customFormat="false" ht="15" hidden="false" customHeight="false" outlineLevel="0" collapsed="false">
      <c r="A136" s="0" t="n">
        <f aca="false">A135+1</f>
        <v>135</v>
      </c>
    </row>
    <row r="137" customFormat="false" ht="15" hidden="false" customHeight="false" outlineLevel="0" collapsed="false">
      <c r="A137" s="0" t="n">
        <f aca="false">A136+1</f>
        <v>136</v>
      </c>
    </row>
    <row r="138" customFormat="false" ht="15" hidden="false" customHeight="false" outlineLevel="0" collapsed="false">
      <c r="A138" s="0" t="n">
        <f aca="false">A137+1</f>
        <v>137</v>
      </c>
    </row>
    <row r="139" customFormat="false" ht="15" hidden="false" customHeight="false" outlineLevel="0" collapsed="false">
      <c r="A139" s="0" t="n">
        <f aca="false">A138+1</f>
        <v>138</v>
      </c>
    </row>
    <row r="140" customFormat="false" ht="15" hidden="false" customHeight="false" outlineLevel="0" collapsed="false">
      <c r="A140" s="0" t="n">
        <f aca="false">A139+1</f>
        <v>139</v>
      </c>
    </row>
    <row r="141" customFormat="false" ht="15" hidden="false" customHeight="false" outlineLevel="0" collapsed="false">
      <c r="A141" s="0" t="n">
        <f aca="false">A140+1</f>
        <v>140</v>
      </c>
    </row>
    <row r="142" customFormat="false" ht="15" hidden="false" customHeight="false" outlineLevel="0" collapsed="false">
      <c r="A142" s="0" t="n">
        <f aca="false">A141+1</f>
        <v>141</v>
      </c>
    </row>
    <row r="143" customFormat="false" ht="15" hidden="false" customHeight="false" outlineLevel="0" collapsed="false">
      <c r="A143" s="0" t="n">
        <f aca="false">A142+1</f>
        <v>142</v>
      </c>
    </row>
    <row r="144" customFormat="false" ht="15" hidden="false" customHeight="false" outlineLevel="0" collapsed="false">
      <c r="A144" s="0" t="n">
        <f aca="false">A143+1</f>
        <v>143</v>
      </c>
    </row>
    <row r="145" customFormat="false" ht="15" hidden="false" customHeight="false" outlineLevel="0" collapsed="false">
      <c r="A145" s="0" t="n">
        <f aca="false">A144+1</f>
        <v>144</v>
      </c>
    </row>
    <row r="146" customFormat="false" ht="15" hidden="false" customHeight="false" outlineLevel="0" collapsed="false">
      <c r="A146" s="0" t="n">
        <f aca="false">A145+1</f>
        <v>145</v>
      </c>
    </row>
    <row r="147" customFormat="false" ht="15" hidden="false" customHeight="false" outlineLevel="0" collapsed="false">
      <c r="A147" s="0" t="n">
        <f aca="false">A146+1</f>
        <v>146</v>
      </c>
    </row>
    <row r="148" customFormat="false" ht="15" hidden="false" customHeight="false" outlineLevel="0" collapsed="false">
      <c r="A148" s="0" t="n">
        <f aca="false">A147+1</f>
        <v>147</v>
      </c>
    </row>
    <row r="149" customFormat="false" ht="15" hidden="false" customHeight="false" outlineLevel="0" collapsed="false">
      <c r="A149" s="0" t="n">
        <f aca="false">A148+1</f>
        <v>148</v>
      </c>
    </row>
    <row r="150" customFormat="false" ht="15" hidden="false" customHeight="false" outlineLevel="0" collapsed="false">
      <c r="A150" s="0" t="n">
        <f aca="false">A149+1</f>
        <v>149</v>
      </c>
    </row>
    <row r="151" customFormat="false" ht="15" hidden="false" customHeight="false" outlineLevel="0" collapsed="false">
      <c r="A151" s="0" t="n">
        <f aca="false">A150+1</f>
        <v>150</v>
      </c>
    </row>
    <row r="152" customFormat="false" ht="15" hidden="false" customHeight="false" outlineLevel="0" collapsed="false">
      <c r="A152" s="0" t="n">
        <f aca="false">A151+1</f>
        <v>151</v>
      </c>
    </row>
    <row r="153" customFormat="false" ht="15" hidden="false" customHeight="false" outlineLevel="0" collapsed="false">
      <c r="A153" s="0" t="n">
        <f aca="false">A152+1</f>
        <v>152</v>
      </c>
    </row>
    <row r="154" customFormat="false" ht="15" hidden="false" customHeight="false" outlineLevel="0" collapsed="false">
      <c r="A154" s="0" t="n">
        <f aca="false">A153+1</f>
        <v>153</v>
      </c>
    </row>
    <row r="155" customFormat="false" ht="15" hidden="false" customHeight="false" outlineLevel="0" collapsed="false">
      <c r="A155" s="0" t="n">
        <f aca="false">A154+1</f>
        <v>154</v>
      </c>
    </row>
    <row r="156" customFormat="false" ht="15" hidden="false" customHeight="false" outlineLevel="0" collapsed="false">
      <c r="A156" s="0" t="n">
        <f aca="false">A155+1</f>
        <v>155</v>
      </c>
    </row>
    <row r="157" customFormat="false" ht="15" hidden="false" customHeight="false" outlineLevel="0" collapsed="false">
      <c r="A157" s="0" t="n">
        <f aca="false">A156+1</f>
        <v>156</v>
      </c>
    </row>
    <row r="158" customFormat="false" ht="15" hidden="false" customHeight="false" outlineLevel="0" collapsed="false">
      <c r="A158" s="0" t="n">
        <f aca="false">A157+1</f>
        <v>157</v>
      </c>
    </row>
    <row r="159" customFormat="false" ht="15" hidden="false" customHeight="false" outlineLevel="0" collapsed="false">
      <c r="A159" s="0" t="n">
        <f aca="false">A158+1</f>
        <v>158</v>
      </c>
    </row>
    <row r="160" customFormat="false" ht="15" hidden="false" customHeight="false" outlineLevel="0" collapsed="false">
      <c r="A160" s="0" t="n">
        <f aca="false">A159+1</f>
        <v>159</v>
      </c>
    </row>
    <row r="161" customFormat="false" ht="15" hidden="false" customHeight="false" outlineLevel="0" collapsed="false">
      <c r="A161" s="0" t="n">
        <f aca="false">A160+1</f>
        <v>160</v>
      </c>
    </row>
    <row r="162" customFormat="false" ht="15" hidden="false" customHeight="false" outlineLevel="0" collapsed="false">
      <c r="A162" s="0" t="n">
        <f aca="false">A161+1</f>
        <v>161</v>
      </c>
    </row>
    <row r="163" customFormat="false" ht="15" hidden="false" customHeight="false" outlineLevel="0" collapsed="false">
      <c r="A163" s="0" t="n">
        <f aca="false">A162+1</f>
        <v>162</v>
      </c>
    </row>
    <row r="164" customFormat="false" ht="15" hidden="false" customHeight="false" outlineLevel="0" collapsed="false">
      <c r="A164" s="0" t="n">
        <f aca="false">A163+1</f>
        <v>163</v>
      </c>
    </row>
    <row r="165" customFormat="false" ht="15" hidden="false" customHeight="false" outlineLevel="0" collapsed="false">
      <c r="A165" s="0" t="n">
        <f aca="false">A164+1</f>
        <v>164</v>
      </c>
    </row>
    <row r="166" customFormat="false" ht="15" hidden="false" customHeight="false" outlineLevel="0" collapsed="false">
      <c r="A166" s="0" t="n">
        <f aca="false">A165+1</f>
        <v>165</v>
      </c>
    </row>
    <row r="167" customFormat="false" ht="15" hidden="false" customHeight="false" outlineLevel="0" collapsed="false">
      <c r="A167" s="0" t="n">
        <f aca="false">A166+1</f>
        <v>166</v>
      </c>
    </row>
    <row r="168" customFormat="false" ht="15" hidden="false" customHeight="false" outlineLevel="0" collapsed="false">
      <c r="A168" s="0" t="n">
        <f aca="false">A167+1</f>
        <v>167</v>
      </c>
    </row>
    <row r="169" customFormat="false" ht="15" hidden="false" customHeight="false" outlineLevel="0" collapsed="false">
      <c r="A169" s="0" t="n">
        <f aca="false">A168+1</f>
        <v>168</v>
      </c>
    </row>
    <row r="170" customFormat="false" ht="15" hidden="false" customHeight="false" outlineLevel="0" collapsed="false">
      <c r="A170" s="0" t="n">
        <f aca="false">A169+1</f>
        <v>169</v>
      </c>
    </row>
    <row r="171" customFormat="false" ht="15" hidden="false" customHeight="false" outlineLevel="0" collapsed="false">
      <c r="A171" s="0" t="n">
        <f aca="false">A170+1</f>
        <v>170</v>
      </c>
    </row>
    <row r="172" customFormat="false" ht="15" hidden="false" customHeight="false" outlineLevel="0" collapsed="false">
      <c r="A172" s="0" t="n">
        <f aca="false">A171+1</f>
        <v>171</v>
      </c>
    </row>
    <row r="173" customFormat="false" ht="15" hidden="false" customHeight="false" outlineLevel="0" collapsed="false">
      <c r="A173" s="0" t="n">
        <f aca="false">A172+1</f>
        <v>172</v>
      </c>
    </row>
    <row r="174" customFormat="false" ht="15" hidden="false" customHeight="false" outlineLevel="0" collapsed="false">
      <c r="A174" s="0" t="n">
        <f aca="false">A173+1</f>
        <v>173</v>
      </c>
    </row>
    <row r="175" customFormat="false" ht="15" hidden="false" customHeight="false" outlineLevel="0" collapsed="false">
      <c r="A175" s="0" t="n">
        <f aca="false">A174+1</f>
        <v>174</v>
      </c>
    </row>
    <row r="176" customFormat="false" ht="15" hidden="false" customHeight="false" outlineLevel="0" collapsed="false">
      <c r="A176" s="0" t="n">
        <f aca="false">A175+1</f>
        <v>175</v>
      </c>
    </row>
    <row r="177" customFormat="false" ht="15" hidden="false" customHeight="false" outlineLevel="0" collapsed="false">
      <c r="A177" s="0" t="n">
        <f aca="false">A176+1</f>
        <v>176</v>
      </c>
    </row>
    <row r="178" customFormat="false" ht="15" hidden="false" customHeight="false" outlineLevel="0" collapsed="false">
      <c r="A178" s="0" t="n">
        <f aca="false">A177+1</f>
        <v>177</v>
      </c>
    </row>
    <row r="179" customFormat="false" ht="15" hidden="false" customHeight="false" outlineLevel="0" collapsed="false">
      <c r="A179" s="0" t="n">
        <f aca="false">A178+1</f>
        <v>178</v>
      </c>
    </row>
    <row r="180" customFormat="false" ht="15" hidden="false" customHeight="false" outlineLevel="0" collapsed="false">
      <c r="A180" s="0" t="n">
        <f aca="false">A179+1</f>
        <v>179</v>
      </c>
    </row>
    <row r="181" customFormat="false" ht="15" hidden="false" customHeight="false" outlineLevel="0" collapsed="false">
      <c r="A181" s="0" t="n">
        <f aca="false">A180+1</f>
        <v>180</v>
      </c>
    </row>
    <row r="182" customFormat="false" ht="15" hidden="false" customHeight="false" outlineLevel="0" collapsed="false">
      <c r="A182" s="0" t="n">
        <f aca="false">A181+1</f>
        <v>181</v>
      </c>
    </row>
    <row r="183" customFormat="false" ht="15" hidden="false" customHeight="false" outlineLevel="0" collapsed="false">
      <c r="A183" s="0" t="n">
        <f aca="false">A182+1</f>
        <v>182</v>
      </c>
    </row>
    <row r="184" customFormat="false" ht="15" hidden="false" customHeight="false" outlineLevel="0" collapsed="false">
      <c r="A184" s="0" t="n">
        <f aca="false">A183+1</f>
        <v>183</v>
      </c>
    </row>
    <row r="185" customFormat="false" ht="15" hidden="false" customHeight="false" outlineLevel="0" collapsed="false">
      <c r="A185" s="0" t="n">
        <f aca="false">A184+1</f>
        <v>184</v>
      </c>
    </row>
    <row r="186" customFormat="false" ht="15" hidden="false" customHeight="false" outlineLevel="0" collapsed="false">
      <c r="A186" s="0" t="n">
        <f aca="false">A185+1</f>
        <v>185</v>
      </c>
    </row>
    <row r="187" customFormat="false" ht="15" hidden="false" customHeight="false" outlineLevel="0" collapsed="false">
      <c r="A187" s="0" t="n">
        <f aca="false">A186+1</f>
        <v>186</v>
      </c>
    </row>
    <row r="188" customFormat="false" ht="15" hidden="false" customHeight="false" outlineLevel="0" collapsed="false">
      <c r="A188" s="0" t="n">
        <f aca="false">A187+1</f>
        <v>187</v>
      </c>
    </row>
    <row r="189" customFormat="false" ht="15" hidden="false" customHeight="false" outlineLevel="0" collapsed="false">
      <c r="A189" s="0" t="n">
        <f aca="false">A188+1</f>
        <v>188</v>
      </c>
    </row>
    <row r="190" customFormat="false" ht="15" hidden="false" customHeight="false" outlineLevel="0" collapsed="false">
      <c r="A190" s="0" t="n">
        <f aca="false">A189+1</f>
        <v>189</v>
      </c>
    </row>
    <row r="191" customFormat="false" ht="15" hidden="false" customHeight="false" outlineLevel="0" collapsed="false">
      <c r="A191" s="0" t="n">
        <f aca="false">A190+1</f>
        <v>190</v>
      </c>
    </row>
    <row r="192" customFormat="false" ht="15" hidden="false" customHeight="false" outlineLevel="0" collapsed="false">
      <c r="A192" s="0" t="n">
        <f aca="false">A191+1</f>
        <v>191</v>
      </c>
    </row>
    <row r="193" customFormat="false" ht="15" hidden="false" customHeight="false" outlineLevel="0" collapsed="false">
      <c r="A193" s="0" t="n">
        <f aca="false">A192+1</f>
        <v>192</v>
      </c>
    </row>
    <row r="194" customFormat="false" ht="15" hidden="false" customHeight="false" outlineLevel="0" collapsed="false">
      <c r="A194" s="0" t="n">
        <f aca="false">A193+1</f>
        <v>193</v>
      </c>
    </row>
    <row r="195" customFormat="false" ht="15" hidden="false" customHeight="false" outlineLevel="0" collapsed="false">
      <c r="A195" s="0" t="n">
        <f aca="false">A194+1</f>
        <v>194</v>
      </c>
    </row>
    <row r="196" customFormat="false" ht="15" hidden="false" customHeight="false" outlineLevel="0" collapsed="false">
      <c r="A196" s="0" t="n">
        <f aca="false">A195+1</f>
        <v>195</v>
      </c>
    </row>
    <row r="197" customFormat="false" ht="15" hidden="false" customHeight="false" outlineLevel="0" collapsed="false">
      <c r="A197" s="0" t="n">
        <f aca="false">A196+1</f>
        <v>196</v>
      </c>
    </row>
    <row r="198" customFormat="false" ht="15" hidden="false" customHeight="false" outlineLevel="0" collapsed="false">
      <c r="A198" s="0" t="n">
        <f aca="false">A197+1</f>
        <v>197</v>
      </c>
    </row>
    <row r="199" customFormat="false" ht="15" hidden="false" customHeight="false" outlineLevel="0" collapsed="false">
      <c r="A199" s="0" t="n">
        <f aca="false">A198+1</f>
        <v>198</v>
      </c>
    </row>
    <row r="200" customFormat="false" ht="15" hidden="false" customHeight="false" outlineLevel="0" collapsed="false">
      <c r="A200" s="0" t="n">
        <f aca="false">A199+1</f>
        <v>199</v>
      </c>
    </row>
    <row r="201" customFormat="false" ht="15" hidden="false" customHeight="false" outlineLevel="0" collapsed="false">
      <c r="A201" s="0" t="n">
        <f aca="false">A200+1</f>
        <v>200</v>
      </c>
    </row>
    <row r="202" customFormat="false" ht="15" hidden="false" customHeight="false" outlineLevel="0" collapsed="false">
      <c r="A202" s="0" t="n">
        <f aca="false">A201+1</f>
        <v>201</v>
      </c>
    </row>
    <row r="203" customFormat="false" ht="15" hidden="false" customHeight="false" outlineLevel="0" collapsed="false">
      <c r="A203" s="0" t="n">
        <f aca="false">A202+1</f>
        <v>202</v>
      </c>
    </row>
    <row r="204" customFormat="false" ht="15" hidden="false" customHeight="false" outlineLevel="0" collapsed="false">
      <c r="A204" s="0" t="n">
        <f aca="false">A203+1</f>
        <v>203</v>
      </c>
    </row>
    <row r="205" customFormat="false" ht="15" hidden="false" customHeight="false" outlineLevel="0" collapsed="false">
      <c r="A205" s="0" t="n">
        <f aca="false">A204+1</f>
        <v>204</v>
      </c>
    </row>
    <row r="206" customFormat="false" ht="15" hidden="false" customHeight="false" outlineLevel="0" collapsed="false">
      <c r="A206" s="0" t="n">
        <f aca="false">A205+1</f>
        <v>205</v>
      </c>
    </row>
    <row r="207" customFormat="false" ht="15" hidden="false" customHeight="false" outlineLevel="0" collapsed="false">
      <c r="A207" s="0" t="n">
        <f aca="false">A206+1</f>
        <v>206</v>
      </c>
    </row>
    <row r="208" customFormat="false" ht="15" hidden="false" customHeight="false" outlineLevel="0" collapsed="false">
      <c r="A208" s="0" t="n">
        <f aca="false">A207+1</f>
        <v>207</v>
      </c>
    </row>
    <row r="209" customFormat="false" ht="15" hidden="false" customHeight="false" outlineLevel="0" collapsed="false">
      <c r="A209" s="0" t="n">
        <f aca="false">A208+1</f>
        <v>208</v>
      </c>
    </row>
    <row r="210" customFormat="false" ht="15" hidden="false" customHeight="false" outlineLevel="0" collapsed="false">
      <c r="A210" s="0" t="n">
        <f aca="false">A209+1</f>
        <v>209</v>
      </c>
    </row>
    <row r="211" customFormat="false" ht="15" hidden="false" customHeight="false" outlineLevel="0" collapsed="false">
      <c r="A211" s="0" t="n">
        <f aca="false">A210+1</f>
        <v>210</v>
      </c>
    </row>
    <row r="212" customFormat="false" ht="15" hidden="false" customHeight="false" outlineLevel="0" collapsed="false">
      <c r="A212" s="0" t="n">
        <f aca="false">A211+1</f>
        <v>211</v>
      </c>
    </row>
    <row r="213" customFormat="false" ht="15" hidden="false" customHeight="false" outlineLevel="0" collapsed="false">
      <c r="A213" s="0" t="n">
        <f aca="false">A212+1</f>
        <v>212</v>
      </c>
    </row>
    <row r="214" customFormat="false" ht="15" hidden="false" customHeight="false" outlineLevel="0" collapsed="false">
      <c r="A214" s="0" t="n">
        <f aca="false">A213+1</f>
        <v>213</v>
      </c>
    </row>
    <row r="215" customFormat="false" ht="15" hidden="false" customHeight="false" outlineLevel="0" collapsed="false">
      <c r="A215" s="0" t="n">
        <f aca="false">A214+1</f>
        <v>214</v>
      </c>
    </row>
    <row r="216" customFormat="false" ht="15" hidden="false" customHeight="false" outlineLevel="0" collapsed="false">
      <c r="A216" s="0" t="n">
        <f aca="false">A215+1</f>
        <v>215</v>
      </c>
    </row>
    <row r="217" customFormat="false" ht="15" hidden="false" customHeight="false" outlineLevel="0" collapsed="false">
      <c r="A217" s="0" t="n">
        <f aca="false">A216+1</f>
        <v>216</v>
      </c>
    </row>
    <row r="218" customFormat="false" ht="15" hidden="false" customHeight="false" outlineLevel="0" collapsed="false">
      <c r="A218" s="0" t="n">
        <f aca="false">A217+1</f>
        <v>217</v>
      </c>
    </row>
    <row r="219" customFormat="false" ht="15" hidden="false" customHeight="false" outlineLevel="0" collapsed="false">
      <c r="A219" s="0" t="n">
        <f aca="false">A218+1</f>
        <v>218</v>
      </c>
    </row>
    <row r="220" customFormat="false" ht="15" hidden="false" customHeight="false" outlineLevel="0" collapsed="false">
      <c r="A220" s="0" t="n">
        <f aca="false">A219+1</f>
        <v>219</v>
      </c>
    </row>
    <row r="221" customFormat="false" ht="15" hidden="false" customHeight="false" outlineLevel="0" collapsed="false">
      <c r="A221" s="0" t="n">
        <f aca="false">A220+1</f>
        <v>220</v>
      </c>
    </row>
    <row r="222" customFormat="false" ht="15" hidden="false" customHeight="false" outlineLevel="0" collapsed="false">
      <c r="A222" s="0" t="n">
        <f aca="false">A221+1</f>
        <v>221</v>
      </c>
    </row>
    <row r="223" customFormat="false" ht="15" hidden="false" customHeight="false" outlineLevel="0" collapsed="false">
      <c r="A223" s="0" t="n">
        <f aca="false">A222+1</f>
        <v>222</v>
      </c>
    </row>
    <row r="224" customFormat="false" ht="15" hidden="false" customHeight="false" outlineLevel="0" collapsed="false">
      <c r="A224" s="0" t="n">
        <f aca="false">A223+1</f>
        <v>223</v>
      </c>
    </row>
    <row r="225" customFormat="false" ht="15" hidden="false" customHeight="false" outlineLevel="0" collapsed="false">
      <c r="A225" s="0" t="n">
        <f aca="false">A224+1</f>
        <v>224</v>
      </c>
    </row>
    <row r="226" customFormat="false" ht="15" hidden="false" customHeight="false" outlineLevel="0" collapsed="false">
      <c r="A226" s="0" t="n">
        <f aca="false">A225+1</f>
        <v>225</v>
      </c>
    </row>
    <row r="227" customFormat="false" ht="15" hidden="false" customHeight="false" outlineLevel="0" collapsed="false">
      <c r="A227" s="0" t="n">
        <f aca="false">A226+1</f>
        <v>226</v>
      </c>
    </row>
    <row r="228" customFormat="false" ht="15" hidden="false" customHeight="false" outlineLevel="0" collapsed="false">
      <c r="A228" s="0" t="n">
        <f aca="false">A227+1</f>
        <v>227</v>
      </c>
    </row>
    <row r="229" customFormat="false" ht="15" hidden="false" customHeight="false" outlineLevel="0" collapsed="false">
      <c r="A229" s="0" t="n">
        <f aca="false">A228+1</f>
        <v>228</v>
      </c>
    </row>
    <row r="230" customFormat="false" ht="15" hidden="false" customHeight="false" outlineLevel="0" collapsed="false">
      <c r="A230" s="0" t="n">
        <f aca="false">A229+1</f>
        <v>229</v>
      </c>
    </row>
    <row r="231" customFormat="false" ht="15" hidden="false" customHeight="false" outlineLevel="0" collapsed="false">
      <c r="A231" s="0" t="n">
        <f aca="false">A230+1</f>
        <v>230</v>
      </c>
    </row>
    <row r="232" customFormat="false" ht="15" hidden="false" customHeight="false" outlineLevel="0" collapsed="false">
      <c r="A232" s="0" t="n">
        <f aca="false">A231+1</f>
        <v>231</v>
      </c>
    </row>
    <row r="233" customFormat="false" ht="15" hidden="false" customHeight="false" outlineLevel="0" collapsed="false">
      <c r="A233" s="0" t="n">
        <f aca="false">A232+1</f>
        <v>232</v>
      </c>
    </row>
    <row r="234" customFormat="false" ht="15" hidden="false" customHeight="false" outlineLevel="0" collapsed="false">
      <c r="A234" s="0" t="n">
        <f aca="false">A233+1</f>
        <v>233</v>
      </c>
    </row>
    <row r="235" customFormat="false" ht="15" hidden="false" customHeight="false" outlineLevel="0" collapsed="false">
      <c r="A235" s="0" t="n">
        <f aca="false">A234+1</f>
        <v>234</v>
      </c>
    </row>
    <row r="236" customFormat="false" ht="15" hidden="false" customHeight="false" outlineLevel="0" collapsed="false">
      <c r="A236" s="0" t="n">
        <f aca="false">A235+1</f>
        <v>235</v>
      </c>
    </row>
    <row r="237" customFormat="false" ht="15" hidden="false" customHeight="false" outlineLevel="0" collapsed="false">
      <c r="A237" s="0" t="n">
        <f aca="false">A236+1</f>
        <v>236</v>
      </c>
    </row>
    <row r="238" customFormat="false" ht="15" hidden="false" customHeight="false" outlineLevel="0" collapsed="false">
      <c r="A238" s="0" t="n">
        <f aca="false">A237+1</f>
        <v>237</v>
      </c>
    </row>
    <row r="239" customFormat="false" ht="15" hidden="false" customHeight="false" outlineLevel="0" collapsed="false">
      <c r="A239" s="0" t="n">
        <f aca="false">A238+1</f>
        <v>238</v>
      </c>
    </row>
    <row r="240" customFormat="false" ht="15" hidden="false" customHeight="false" outlineLevel="0" collapsed="false">
      <c r="A240" s="0" t="n">
        <f aca="false">A239+1</f>
        <v>239</v>
      </c>
    </row>
    <row r="241" customFormat="false" ht="15" hidden="false" customHeight="false" outlineLevel="0" collapsed="false">
      <c r="A241" s="0" t="n">
        <f aca="false">A240+1</f>
        <v>240</v>
      </c>
    </row>
    <row r="242" customFormat="false" ht="15" hidden="false" customHeight="false" outlineLevel="0" collapsed="false">
      <c r="A242" s="0" t="n">
        <f aca="false">A241+1</f>
        <v>241</v>
      </c>
    </row>
    <row r="243" customFormat="false" ht="15" hidden="false" customHeight="false" outlineLevel="0" collapsed="false">
      <c r="A243" s="0" t="n">
        <f aca="false">A242+1</f>
        <v>242</v>
      </c>
    </row>
    <row r="244" customFormat="false" ht="15" hidden="false" customHeight="false" outlineLevel="0" collapsed="false">
      <c r="A244" s="0" t="n">
        <f aca="false">A243+1</f>
        <v>243</v>
      </c>
    </row>
    <row r="245" customFormat="false" ht="15" hidden="false" customHeight="false" outlineLevel="0" collapsed="false">
      <c r="A245" s="0" t="n">
        <f aca="false">A244+1</f>
        <v>244</v>
      </c>
    </row>
    <row r="246" customFormat="false" ht="15" hidden="false" customHeight="false" outlineLevel="0" collapsed="false">
      <c r="A246" s="0" t="n">
        <f aca="false">A245+1</f>
        <v>245</v>
      </c>
    </row>
    <row r="247" customFormat="false" ht="15" hidden="false" customHeight="false" outlineLevel="0" collapsed="false">
      <c r="A247" s="0" t="n">
        <f aca="false">A246+1</f>
        <v>246</v>
      </c>
    </row>
    <row r="248" customFormat="false" ht="15" hidden="false" customHeight="false" outlineLevel="0" collapsed="false">
      <c r="A248" s="0" t="n">
        <f aca="false">A247+1</f>
        <v>247</v>
      </c>
    </row>
    <row r="249" customFormat="false" ht="15" hidden="false" customHeight="false" outlineLevel="0" collapsed="false">
      <c r="A249" s="0" t="n">
        <f aca="false">A248+1</f>
        <v>248</v>
      </c>
    </row>
    <row r="250" customFormat="false" ht="15" hidden="false" customHeight="false" outlineLevel="0" collapsed="false">
      <c r="A250" s="0" t="n">
        <f aca="false">A249+1</f>
        <v>249</v>
      </c>
    </row>
    <row r="251" customFormat="false" ht="15" hidden="false" customHeight="false" outlineLevel="0" collapsed="false">
      <c r="A251" s="0" t="n">
        <f aca="false">A250+1</f>
        <v>250</v>
      </c>
    </row>
    <row r="252" customFormat="false" ht="15" hidden="false" customHeight="false" outlineLevel="0" collapsed="false">
      <c r="A252" s="0" t="n">
        <f aca="false">A251+1</f>
        <v>251</v>
      </c>
    </row>
    <row r="253" customFormat="false" ht="15" hidden="false" customHeight="false" outlineLevel="0" collapsed="false">
      <c r="A253" s="0" t="n">
        <f aca="false">A252+1</f>
        <v>252</v>
      </c>
    </row>
    <row r="254" customFormat="false" ht="15" hidden="false" customHeight="false" outlineLevel="0" collapsed="false">
      <c r="A254" s="0" t="n">
        <f aca="false">A253+1</f>
        <v>253</v>
      </c>
    </row>
    <row r="255" customFormat="false" ht="15" hidden="false" customHeight="false" outlineLevel="0" collapsed="false">
      <c r="A255" s="0" t="n">
        <f aca="false">A254+1</f>
        <v>254</v>
      </c>
    </row>
    <row r="256" customFormat="false" ht="15" hidden="false" customHeight="false" outlineLevel="0" collapsed="false">
      <c r="A256" s="0" t="n">
        <f aca="false">A255+1</f>
        <v>255</v>
      </c>
    </row>
    <row r="257" customFormat="false" ht="15" hidden="false" customHeight="false" outlineLevel="0" collapsed="false">
      <c r="A257" s="0" t="n">
        <f aca="false">A256+1</f>
        <v>256</v>
      </c>
    </row>
    <row r="258" customFormat="false" ht="15" hidden="false" customHeight="false" outlineLevel="0" collapsed="false">
      <c r="A258" s="0" t="n">
        <f aca="false">A257+1</f>
        <v>257</v>
      </c>
    </row>
    <row r="259" customFormat="false" ht="15" hidden="false" customHeight="false" outlineLevel="0" collapsed="false">
      <c r="A259" s="0" t="n">
        <f aca="false">A258+1</f>
        <v>258</v>
      </c>
    </row>
    <row r="260" customFormat="false" ht="15" hidden="false" customHeight="false" outlineLevel="0" collapsed="false">
      <c r="A260" s="0" t="n">
        <f aca="false">A259+1</f>
        <v>259</v>
      </c>
    </row>
    <row r="261" customFormat="false" ht="15" hidden="false" customHeight="false" outlineLevel="0" collapsed="false">
      <c r="A261" s="0" t="n">
        <f aca="false">A260+1</f>
        <v>260</v>
      </c>
    </row>
    <row r="262" customFormat="false" ht="15" hidden="false" customHeight="false" outlineLevel="0" collapsed="false">
      <c r="A262" s="0" t="n">
        <f aca="false">A261+1</f>
        <v>261</v>
      </c>
    </row>
    <row r="263" customFormat="false" ht="15" hidden="false" customHeight="false" outlineLevel="0" collapsed="false">
      <c r="A263" s="0" t="n">
        <f aca="false">A262+1</f>
        <v>262</v>
      </c>
    </row>
    <row r="264" customFormat="false" ht="15" hidden="false" customHeight="false" outlineLevel="0" collapsed="false">
      <c r="A264" s="0" t="n">
        <f aca="false">A263+1</f>
        <v>263</v>
      </c>
    </row>
    <row r="265" customFormat="false" ht="15" hidden="false" customHeight="false" outlineLevel="0" collapsed="false">
      <c r="A265" s="0" t="n">
        <f aca="false">A264+1</f>
        <v>264</v>
      </c>
    </row>
    <row r="266" customFormat="false" ht="15" hidden="false" customHeight="false" outlineLevel="0" collapsed="false">
      <c r="A266" s="0" t="n">
        <f aca="false">A265+1</f>
        <v>265</v>
      </c>
    </row>
    <row r="267" customFormat="false" ht="15" hidden="false" customHeight="false" outlineLevel="0" collapsed="false">
      <c r="A267" s="0" t="n">
        <f aca="false">A266+1</f>
        <v>266</v>
      </c>
    </row>
    <row r="268" customFormat="false" ht="15" hidden="false" customHeight="false" outlineLevel="0" collapsed="false">
      <c r="A268" s="0" t="n">
        <f aca="false">A267+1</f>
        <v>267</v>
      </c>
    </row>
    <row r="269" customFormat="false" ht="15" hidden="false" customHeight="false" outlineLevel="0" collapsed="false">
      <c r="A269" s="0" t="n">
        <f aca="false">A268+1</f>
        <v>268</v>
      </c>
    </row>
    <row r="270" customFormat="false" ht="15" hidden="false" customHeight="false" outlineLevel="0" collapsed="false">
      <c r="A270" s="0" t="n">
        <f aca="false">A269+1</f>
        <v>269</v>
      </c>
    </row>
    <row r="271" customFormat="false" ht="15" hidden="false" customHeight="false" outlineLevel="0" collapsed="false">
      <c r="A271" s="0" t="n">
        <f aca="false">A270+1</f>
        <v>270</v>
      </c>
    </row>
    <row r="272" customFormat="false" ht="15" hidden="false" customHeight="false" outlineLevel="0" collapsed="false">
      <c r="A272" s="0" t="n">
        <f aca="false">A271+1</f>
        <v>271</v>
      </c>
    </row>
    <row r="273" customFormat="false" ht="15" hidden="false" customHeight="false" outlineLevel="0" collapsed="false">
      <c r="A273" s="0" t="n">
        <f aca="false">A272+1</f>
        <v>272</v>
      </c>
    </row>
    <row r="274" customFormat="false" ht="15" hidden="false" customHeight="false" outlineLevel="0" collapsed="false">
      <c r="A274" s="0" t="n">
        <f aca="false">A273+1</f>
        <v>273</v>
      </c>
    </row>
    <row r="275" customFormat="false" ht="15" hidden="false" customHeight="false" outlineLevel="0" collapsed="false">
      <c r="A275" s="0" t="n">
        <f aca="false">A274+1</f>
        <v>274</v>
      </c>
    </row>
    <row r="276" customFormat="false" ht="15" hidden="false" customHeight="false" outlineLevel="0" collapsed="false">
      <c r="A276" s="0" t="n">
        <f aca="false">A275+1</f>
        <v>275</v>
      </c>
    </row>
    <row r="277" customFormat="false" ht="15" hidden="false" customHeight="false" outlineLevel="0" collapsed="false">
      <c r="A277" s="0" t="n">
        <f aca="false">A276+1</f>
        <v>276</v>
      </c>
    </row>
    <row r="278" customFormat="false" ht="15" hidden="false" customHeight="false" outlineLevel="0" collapsed="false">
      <c r="A278" s="0" t="n">
        <f aca="false">A277+1</f>
        <v>277</v>
      </c>
    </row>
    <row r="279" customFormat="false" ht="15" hidden="false" customHeight="false" outlineLevel="0" collapsed="false">
      <c r="A279" s="0" t="n">
        <f aca="false">A278+1</f>
        <v>278</v>
      </c>
    </row>
    <row r="280" customFormat="false" ht="15" hidden="false" customHeight="false" outlineLevel="0" collapsed="false">
      <c r="A280" s="0" t="n">
        <f aca="false">A279+1</f>
        <v>279</v>
      </c>
    </row>
    <row r="281" customFormat="false" ht="15" hidden="false" customHeight="false" outlineLevel="0" collapsed="false">
      <c r="A281" s="0" t="n">
        <f aca="false">A280+1</f>
        <v>280</v>
      </c>
    </row>
    <row r="282" customFormat="false" ht="15" hidden="false" customHeight="false" outlineLevel="0" collapsed="false">
      <c r="A282" s="0" t="n">
        <f aca="false">A281+1</f>
        <v>281</v>
      </c>
    </row>
    <row r="283" customFormat="false" ht="15" hidden="false" customHeight="false" outlineLevel="0" collapsed="false">
      <c r="A283" s="0" t="n">
        <f aca="false">A282+1</f>
        <v>282</v>
      </c>
    </row>
    <row r="284" customFormat="false" ht="15" hidden="false" customHeight="false" outlineLevel="0" collapsed="false">
      <c r="A284" s="0" t="n">
        <f aca="false">A283+1</f>
        <v>283</v>
      </c>
    </row>
    <row r="285" customFormat="false" ht="15" hidden="false" customHeight="false" outlineLevel="0" collapsed="false">
      <c r="A285" s="0" t="n">
        <f aca="false">A284+1</f>
        <v>284</v>
      </c>
    </row>
    <row r="286" customFormat="false" ht="15" hidden="false" customHeight="false" outlineLevel="0" collapsed="false">
      <c r="A286" s="0" t="n">
        <f aca="false">A285+1</f>
        <v>285</v>
      </c>
    </row>
    <row r="287" customFormat="false" ht="15" hidden="false" customHeight="false" outlineLevel="0" collapsed="false">
      <c r="A287" s="0" t="n">
        <f aca="false">A286+1</f>
        <v>286</v>
      </c>
    </row>
    <row r="288" customFormat="false" ht="15" hidden="false" customHeight="false" outlineLevel="0" collapsed="false">
      <c r="A288" s="0" t="n">
        <f aca="false">A287+1</f>
        <v>287</v>
      </c>
    </row>
    <row r="289" customFormat="false" ht="15" hidden="false" customHeight="false" outlineLevel="0" collapsed="false">
      <c r="A289" s="0" t="n">
        <f aca="false">A288+1</f>
        <v>288</v>
      </c>
    </row>
    <row r="290" customFormat="false" ht="15" hidden="false" customHeight="false" outlineLevel="0" collapsed="false">
      <c r="A290" s="0" t="n">
        <f aca="false">A289+1</f>
        <v>289</v>
      </c>
    </row>
    <row r="291" customFormat="false" ht="15" hidden="false" customHeight="false" outlineLevel="0" collapsed="false">
      <c r="A291" s="0" t="n">
        <f aca="false">A290+1</f>
        <v>290</v>
      </c>
    </row>
    <row r="292" customFormat="false" ht="15" hidden="false" customHeight="false" outlineLevel="0" collapsed="false">
      <c r="A292" s="0" t="n">
        <f aca="false">A291+1</f>
        <v>291</v>
      </c>
    </row>
    <row r="293" customFormat="false" ht="15" hidden="false" customHeight="false" outlineLevel="0" collapsed="false">
      <c r="A293" s="0" t="n">
        <f aca="false">A292+1</f>
        <v>292</v>
      </c>
    </row>
    <row r="294" customFormat="false" ht="15" hidden="false" customHeight="false" outlineLevel="0" collapsed="false">
      <c r="A294" s="0" t="n">
        <f aca="false">A293+1</f>
        <v>293</v>
      </c>
    </row>
    <row r="295" customFormat="false" ht="15" hidden="false" customHeight="false" outlineLevel="0" collapsed="false">
      <c r="A295" s="0" t="n">
        <f aca="false">A294+1</f>
        <v>294</v>
      </c>
    </row>
    <row r="296" customFormat="false" ht="15" hidden="false" customHeight="false" outlineLevel="0" collapsed="false">
      <c r="A296" s="0" t="n">
        <f aca="false">A295+1</f>
        <v>295</v>
      </c>
    </row>
    <row r="297" customFormat="false" ht="15" hidden="false" customHeight="false" outlineLevel="0" collapsed="false">
      <c r="A297" s="0" t="n">
        <f aca="false">A296+1</f>
        <v>296</v>
      </c>
    </row>
    <row r="298" customFormat="false" ht="15" hidden="false" customHeight="false" outlineLevel="0" collapsed="false">
      <c r="A298" s="0" t="n">
        <f aca="false">A297+1</f>
        <v>297</v>
      </c>
    </row>
    <row r="299" customFormat="false" ht="15" hidden="false" customHeight="false" outlineLevel="0" collapsed="false">
      <c r="A299" s="0" t="n">
        <f aca="false">A298+1</f>
        <v>298</v>
      </c>
    </row>
    <row r="300" customFormat="false" ht="15" hidden="false" customHeight="false" outlineLevel="0" collapsed="false">
      <c r="A300" s="0" t="n">
        <f aca="false">A299+1</f>
        <v>299</v>
      </c>
    </row>
    <row r="301" customFormat="false" ht="15" hidden="false" customHeight="false" outlineLevel="0" collapsed="false">
      <c r="A301" s="0" t="n">
        <f aca="false">A300+1</f>
        <v>300</v>
      </c>
    </row>
    <row r="302" customFormat="false" ht="15" hidden="false" customHeight="false" outlineLevel="0" collapsed="false">
      <c r="A302" s="0" t="n">
        <f aca="false">A301+1</f>
        <v>301</v>
      </c>
    </row>
    <row r="303" customFormat="false" ht="15" hidden="false" customHeight="false" outlineLevel="0" collapsed="false">
      <c r="A303" s="0" t="n">
        <f aca="false">A302+1</f>
        <v>302</v>
      </c>
    </row>
    <row r="304" customFormat="false" ht="15" hidden="false" customHeight="false" outlineLevel="0" collapsed="false">
      <c r="A304" s="0" t="n">
        <f aca="false">A303+1</f>
        <v>303</v>
      </c>
    </row>
    <row r="305" customFormat="false" ht="15" hidden="false" customHeight="false" outlineLevel="0" collapsed="false">
      <c r="A305" s="0" t="n">
        <f aca="false">A304+1</f>
        <v>304</v>
      </c>
    </row>
    <row r="306" customFormat="false" ht="15" hidden="false" customHeight="false" outlineLevel="0" collapsed="false">
      <c r="A306" s="0" t="n">
        <f aca="false">A305+1</f>
        <v>305</v>
      </c>
    </row>
    <row r="307" customFormat="false" ht="15" hidden="false" customHeight="false" outlineLevel="0" collapsed="false">
      <c r="A307" s="0" t="n">
        <f aca="false">A306+1</f>
        <v>306</v>
      </c>
    </row>
    <row r="308" customFormat="false" ht="15" hidden="false" customHeight="false" outlineLevel="0" collapsed="false">
      <c r="A308" s="0" t="n">
        <f aca="false">A307+1</f>
        <v>307</v>
      </c>
    </row>
    <row r="309" customFormat="false" ht="15" hidden="false" customHeight="false" outlineLevel="0" collapsed="false">
      <c r="A309" s="0" t="n">
        <f aca="false">A308+1</f>
        <v>308</v>
      </c>
    </row>
    <row r="310" customFormat="false" ht="15" hidden="false" customHeight="false" outlineLevel="0" collapsed="false">
      <c r="A310" s="0" t="n">
        <f aca="false">A309+1</f>
        <v>309</v>
      </c>
    </row>
    <row r="311" customFormat="false" ht="15" hidden="false" customHeight="false" outlineLevel="0" collapsed="false">
      <c r="A311" s="0" t="n">
        <f aca="false">A310+1</f>
        <v>310</v>
      </c>
    </row>
    <row r="312" customFormat="false" ht="15" hidden="false" customHeight="false" outlineLevel="0" collapsed="false">
      <c r="A312" s="0" t="n">
        <f aca="false">A311+1</f>
        <v>311</v>
      </c>
    </row>
    <row r="313" customFormat="false" ht="15" hidden="false" customHeight="false" outlineLevel="0" collapsed="false">
      <c r="A313" s="0" t="n">
        <f aca="false">A312+1</f>
        <v>312</v>
      </c>
    </row>
    <row r="314" customFormat="false" ht="15" hidden="false" customHeight="false" outlineLevel="0" collapsed="false">
      <c r="A314" s="0" t="n">
        <f aca="false">A313+1</f>
        <v>313</v>
      </c>
    </row>
    <row r="315" customFormat="false" ht="15" hidden="false" customHeight="false" outlineLevel="0" collapsed="false">
      <c r="A315" s="0" t="n">
        <f aca="false">A314+1</f>
        <v>314</v>
      </c>
    </row>
    <row r="316" customFormat="false" ht="15" hidden="false" customHeight="false" outlineLevel="0" collapsed="false">
      <c r="A316" s="0" t="n">
        <f aca="false">A315+1</f>
        <v>315</v>
      </c>
    </row>
    <row r="317" customFormat="false" ht="15" hidden="false" customHeight="false" outlineLevel="0" collapsed="false">
      <c r="A317" s="0" t="n">
        <f aca="false">A316+1</f>
        <v>316</v>
      </c>
    </row>
    <row r="318" customFormat="false" ht="15" hidden="false" customHeight="false" outlineLevel="0" collapsed="false">
      <c r="A318" s="0" t="n">
        <f aca="false">A317+1</f>
        <v>317</v>
      </c>
    </row>
    <row r="319" customFormat="false" ht="15" hidden="false" customHeight="false" outlineLevel="0" collapsed="false">
      <c r="A319" s="0" t="n">
        <f aca="false">A318+1</f>
        <v>318</v>
      </c>
    </row>
    <row r="320" customFormat="false" ht="15" hidden="false" customHeight="false" outlineLevel="0" collapsed="false">
      <c r="A320" s="0" t="n">
        <f aca="false">A319+1</f>
        <v>319</v>
      </c>
    </row>
    <row r="321" customFormat="false" ht="15" hidden="false" customHeight="false" outlineLevel="0" collapsed="false">
      <c r="A321" s="0" t="n">
        <f aca="false">A320+1</f>
        <v>320</v>
      </c>
    </row>
    <row r="322" customFormat="false" ht="15" hidden="false" customHeight="false" outlineLevel="0" collapsed="false">
      <c r="A322" s="0" t="n">
        <f aca="false">A321+1</f>
        <v>321</v>
      </c>
    </row>
    <row r="323" customFormat="false" ht="15" hidden="false" customHeight="false" outlineLevel="0" collapsed="false">
      <c r="A323" s="0" t="n">
        <f aca="false">A322+1</f>
        <v>322</v>
      </c>
    </row>
    <row r="324" customFormat="false" ht="15" hidden="false" customHeight="false" outlineLevel="0" collapsed="false">
      <c r="A324" s="0" t="n">
        <f aca="false">A323+1</f>
        <v>323</v>
      </c>
    </row>
    <row r="325" customFormat="false" ht="15" hidden="false" customHeight="false" outlineLevel="0" collapsed="false">
      <c r="A325" s="0" t="n">
        <f aca="false">A324+1</f>
        <v>324</v>
      </c>
    </row>
    <row r="326" customFormat="false" ht="15" hidden="false" customHeight="false" outlineLevel="0" collapsed="false">
      <c r="A326" s="0" t="n">
        <f aca="false">A325+1</f>
        <v>325</v>
      </c>
    </row>
    <row r="327" customFormat="false" ht="15" hidden="false" customHeight="false" outlineLevel="0" collapsed="false">
      <c r="A327" s="0" t="n">
        <f aca="false">A326+1</f>
        <v>326</v>
      </c>
    </row>
    <row r="328" customFormat="false" ht="15" hidden="false" customHeight="false" outlineLevel="0" collapsed="false">
      <c r="A328" s="0" t="n">
        <f aca="false">A327+1</f>
        <v>327</v>
      </c>
    </row>
    <row r="329" customFormat="false" ht="15" hidden="false" customHeight="false" outlineLevel="0" collapsed="false">
      <c r="A329" s="0" t="n">
        <f aca="false">A328+1</f>
        <v>328</v>
      </c>
    </row>
    <row r="330" customFormat="false" ht="15" hidden="false" customHeight="false" outlineLevel="0" collapsed="false">
      <c r="A330" s="0" t="n">
        <f aca="false">A329+1</f>
        <v>329</v>
      </c>
    </row>
    <row r="331" customFormat="false" ht="15" hidden="false" customHeight="false" outlineLevel="0" collapsed="false">
      <c r="A331" s="0" t="n">
        <f aca="false">A330+1</f>
        <v>330</v>
      </c>
    </row>
    <row r="332" customFormat="false" ht="15" hidden="false" customHeight="false" outlineLevel="0" collapsed="false">
      <c r="A332" s="0" t="n">
        <f aca="false">A331+1</f>
        <v>331</v>
      </c>
    </row>
    <row r="333" customFormat="false" ht="15" hidden="false" customHeight="false" outlineLevel="0" collapsed="false">
      <c r="A333" s="0" t="n">
        <f aca="false">A332+1</f>
        <v>332</v>
      </c>
    </row>
    <row r="334" customFormat="false" ht="15" hidden="false" customHeight="false" outlineLevel="0" collapsed="false">
      <c r="A334" s="0" t="n">
        <f aca="false">A333+1</f>
        <v>333</v>
      </c>
    </row>
    <row r="335" customFormat="false" ht="15" hidden="false" customHeight="false" outlineLevel="0" collapsed="false">
      <c r="A335" s="0" t="n">
        <f aca="false">A334+1</f>
        <v>334</v>
      </c>
    </row>
    <row r="336" customFormat="false" ht="15" hidden="false" customHeight="false" outlineLevel="0" collapsed="false">
      <c r="A336" s="0" t="n">
        <f aca="false">A335+1</f>
        <v>335</v>
      </c>
    </row>
    <row r="337" customFormat="false" ht="15" hidden="false" customHeight="false" outlineLevel="0" collapsed="false">
      <c r="A337" s="0" t="n">
        <f aca="false">A336+1</f>
        <v>336</v>
      </c>
    </row>
    <row r="338" customFormat="false" ht="15" hidden="false" customHeight="false" outlineLevel="0" collapsed="false">
      <c r="A338" s="0" t="n">
        <f aca="false">A337+1</f>
        <v>337</v>
      </c>
    </row>
    <row r="339" customFormat="false" ht="15" hidden="false" customHeight="false" outlineLevel="0" collapsed="false">
      <c r="A339" s="0" t="n">
        <f aca="false">A338+1</f>
        <v>338</v>
      </c>
    </row>
    <row r="340" customFormat="false" ht="15" hidden="false" customHeight="false" outlineLevel="0" collapsed="false">
      <c r="A340" s="0" t="n">
        <f aca="false">A339+1</f>
        <v>339</v>
      </c>
    </row>
    <row r="341" customFormat="false" ht="15" hidden="false" customHeight="false" outlineLevel="0" collapsed="false">
      <c r="A341" s="0" t="n">
        <f aca="false">A340+1</f>
        <v>340</v>
      </c>
    </row>
    <row r="342" customFormat="false" ht="15" hidden="false" customHeight="false" outlineLevel="0" collapsed="false">
      <c r="A342" s="0" t="n">
        <f aca="false">A341+1</f>
        <v>341</v>
      </c>
    </row>
    <row r="343" customFormat="false" ht="15" hidden="false" customHeight="false" outlineLevel="0" collapsed="false">
      <c r="A343" s="0" t="n">
        <f aca="false">A342+1</f>
        <v>342</v>
      </c>
    </row>
    <row r="344" customFormat="false" ht="15" hidden="false" customHeight="false" outlineLevel="0" collapsed="false">
      <c r="A344" s="0" t="n">
        <f aca="false">A343+1</f>
        <v>343</v>
      </c>
    </row>
    <row r="345" customFormat="false" ht="15" hidden="false" customHeight="false" outlineLevel="0" collapsed="false">
      <c r="A345" s="0" t="n">
        <f aca="false">A344+1</f>
        <v>344</v>
      </c>
    </row>
    <row r="346" customFormat="false" ht="15" hidden="false" customHeight="false" outlineLevel="0" collapsed="false">
      <c r="A346" s="0" t="n">
        <f aca="false">A345+1</f>
        <v>345</v>
      </c>
    </row>
    <row r="347" customFormat="false" ht="15" hidden="false" customHeight="false" outlineLevel="0" collapsed="false">
      <c r="A347" s="0" t="n">
        <f aca="false">A346+1</f>
        <v>346</v>
      </c>
    </row>
    <row r="348" customFormat="false" ht="15" hidden="false" customHeight="false" outlineLevel="0" collapsed="false">
      <c r="A348" s="0" t="n">
        <f aca="false">A347+1</f>
        <v>347</v>
      </c>
    </row>
    <row r="349" customFormat="false" ht="15" hidden="false" customHeight="false" outlineLevel="0" collapsed="false">
      <c r="A349" s="0" t="n">
        <f aca="false">A348+1</f>
        <v>348</v>
      </c>
    </row>
    <row r="350" customFormat="false" ht="15" hidden="false" customHeight="false" outlineLevel="0" collapsed="false">
      <c r="A350" s="0" t="n">
        <f aca="false">A349+1</f>
        <v>349</v>
      </c>
    </row>
    <row r="351" customFormat="false" ht="15" hidden="false" customHeight="false" outlineLevel="0" collapsed="false">
      <c r="A351" s="0" t="n">
        <f aca="false">A350+1</f>
        <v>350</v>
      </c>
    </row>
    <row r="352" customFormat="false" ht="15" hidden="false" customHeight="false" outlineLevel="0" collapsed="false">
      <c r="A352" s="0" t="n">
        <f aca="false">A351+1</f>
        <v>351</v>
      </c>
    </row>
    <row r="353" customFormat="false" ht="15" hidden="false" customHeight="false" outlineLevel="0" collapsed="false">
      <c r="A353" s="0" t="n">
        <f aca="false">A352+1</f>
        <v>352</v>
      </c>
    </row>
    <row r="354" customFormat="false" ht="15" hidden="false" customHeight="false" outlineLevel="0" collapsed="false">
      <c r="A354" s="0" t="n">
        <f aca="false">A353+1</f>
        <v>353</v>
      </c>
    </row>
    <row r="355" customFormat="false" ht="15" hidden="false" customHeight="false" outlineLevel="0" collapsed="false">
      <c r="A355" s="0" t="n">
        <f aca="false">A354+1</f>
        <v>354</v>
      </c>
    </row>
    <row r="356" customFormat="false" ht="15" hidden="false" customHeight="false" outlineLevel="0" collapsed="false">
      <c r="A356" s="0" t="n">
        <f aca="false">A355+1</f>
        <v>355</v>
      </c>
    </row>
    <row r="357" customFormat="false" ht="15" hidden="false" customHeight="false" outlineLevel="0" collapsed="false">
      <c r="A357" s="0" t="n">
        <f aca="false">A356+1</f>
        <v>356</v>
      </c>
    </row>
    <row r="358" customFormat="false" ht="15" hidden="false" customHeight="false" outlineLevel="0" collapsed="false">
      <c r="A358" s="0" t="n">
        <f aca="false">A357+1</f>
        <v>357</v>
      </c>
    </row>
    <row r="359" customFormat="false" ht="15" hidden="false" customHeight="false" outlineLevel="0" collapsed="false">
      <c r="A359" s="0" t="n">
        <f aca="false">A358+1</f>
        <v>358</v>
      </c>
    </row>
    <row r="360" customFormat="false" ht="15" hidden="false" customHeight="false" outlineLevel="0" collapsed="false">
      <c r="A360" s="0" t="n">
        <f aca="false">A359+1</f>
        <v>359</v>
      </c>
    </row>
    <row r="361" customFormat="false" ht="15" hidden="false" customHeight="false" outlineLevel="0" collapsed="false">
      <c r="A361" s="0" t="n">
        <f aca="false">A360+1</f>
        <v>360</v>
      </c>
    </row>
    <row r="362" customFormat="false" ht="15" hidden="false" customHeight="false" outlineLevel="0" collapsed="false">
      <c r="A362" s="0" t="n">
        <f aca="false">A361+1</f>
        <v>361</v>
      </c>
    </row>
    <row r="363" customFormat="false" ht="15" hidden="false" customHeight="false" outlineLevel="0" collapsed="false">
      <c r="A363" s="0" t="n">
        <f aca="false">A362+1</f>
        <v>362</v>
      </c>
    </row>
    <row r="364" customFormat="false" ht="15" hidden="false" customHeight="false" outlineLevel="0" collapsed="false">
      <c r="A364" s="0" t="n">
        <f aca="false">A363+1</f>
        <v>363</v>
      </c>
    </row>
    <row r="365" customFormat="false" ht="15" hidden="false" customHeight="false" outlineLevel="0" collapsed="false">
      <c r="A365" s="0" t="n">
        <f aca="false">A364+1</f>
        <v>364</v>
      </c>
    </row>
    <row r="366" customFormat="false" ht="15" hidden="false" customHeight="false" outlineLevel="0" collapsed="false">
      <c r="A366" s="0" t="n">
        <f aca="false">A365+1</f>
        <v>365</v>
      </c>
    </row>
    <row r="367" customFormat="false" ht="15" hidden="false" customHeight="false" outlineLevel="0" collapsed="false">
      <c r="A367" s="0" t="n">
        <f aca="false">A366+1</f>
        <v>366</v>
      </c>
    </row>
    <row r="368" customFormat="false" ht="15" hidden="false" customHeight="false" outlineLevel="0" collapsed="false">
      <c r="A368" s="0" t="n">
        <f aca="false">A367+1</f>
        <v>367</v>
      </c>
    </row>
    <row r="369" customFormat="false" ht="15" hidden="false" customHeight="false" outlineLevel="0" collapsed="false">
      <c r="A369" s="0" t="n">
        <f aca="false">A368+1</f>
        <v>368</v>
      </c>
    </row>
    <row r="370" customFormat="false" ht="15" hidden="false" customHeight="false" outlineLevel="0" collapsed="false">
      <c r="A370" s="0" t="n">
        <f aca="false">A369+1</f>
        <v>369</v>
      </c>
    </row>
    <row r="371" customFormat="false" ht="15" hidden="false" customHeight="false" outlineLevel="0" collapsed="false">
      <c r="A371" s="0" t="n">
        <f aca="false">A370+1</f>
        <v>370</v>
      </c>
    </row>
    <row r="372" customFormat="false" ht="15" hidden="false" customHeight="false" outlineLevel="0" collapsed="false">
      <c r="A372" s="0" t="n">
        <f aca="false">A371+1</f>
        <v>371</v>
      </c>
    </row>
    <row r="373" customFormat="false" ht="15" hidden="false" customHeight="false" outlineLevel="0" collapsed="false">
      <c r="A373" s="0" t="n">
        <f aca="false">A372+1</f>
        <v>372</v>
      </c>
    </row>
    <row r="374" customFormat="false" ht="15" hidden="false" customHeight="false" outlineLevel="0" collapsed="false">
      <c r="A374" s="0" t="n">
        <f aca="false">A373+1</f>
        <v>373</v>
      </c>
    </row>
    <row r="375" customFormat="false" ht="15" hidden="false" customHeight="false" outlineLevel="0" collapsed="false">
      <c r="A375" s="0" t="n">
        <f aca="false">A374+1</f>
        <v>374</v>
      </c>
    </row>
    <row r="376" customFormat="false" ht="15" hidden="false" customHeight="false" outlineLevel="0" collapsed="false">
      <c r="A376" s="0" t="n">
        <f aca="false">A375+1</f>
        <v>375</v>
      </c>
    </row>
    <row r="377" customFormat="false" ht="15" hidden="false" customHeight="false" outlineLevel="0" collapsed="false">
      <c r="A377" s="0" t="n">
        <f aca="false">A376+1</f>
        <v>376</v>
      </c>
    </row>
    <row r="378" customFormat="false" ht="15" hidden="false" customHeight="false" outlineLevel="0" collapsed="false">
      <c r="A378" s="0" t="n">
        <f aca="false">A377+1</f>
        <v>377</v>
      </c>
    </row>
    <row r="379" customFormat="false" ht="15" hidden="false" customHeight="false" outlineLevel="0" collapsed="false">
      <c r="A379" s="0" t="n">
        <f aca="false">A378+1</f>
        <v>378</v>
      </c>
    </row>
    <row r="380" customFormat="false" ht="15" hidden="false" customHeight="false" outlineLevel="0" collapsed="false">
      <c r="A380" s="0" t="n">
        <f aca="false">A379+1</f>
        <v>379</v>
      </c>
    </row>
    <row r="381" customFormat="false" ht="15" hidden="false" customHeight="false" outlineLevel="0" collapsed="false">
      <c r="A381" s="0" t="n">
        <f aca="false">A380+1</f>
        <v>380</v>
      </c>
    </row>
    <row r="382" customFormat="false" ht="15" hidden="false" customHeight="false" outlineLevel="0" collapsed="false">
      <c r="A382" s="0" t="n">
        <f aca="false">A381+1</f>
        <v>381</v>
      </c>
    </row>
    <row r="383" customFormat="false" ht="15" hidden="false" customHeight="false" outlineLevel="0" collapsed="false">
      <c r="A383" s="0" t="n">
        <f aca="false">A382+1</f>
        <v>382</v>
      </c>
    </row>
    <row r="384" customFormat="false" ht="15" hidden="false" customHeight="false" outlineLevel="0" collapsed="false">
      <c r="A384" s="0" t="n">
        <f aca="false">A383+1</f>
        <v>383</v>
      </c>
    </row>
    <row r="385" customFormat="false" ht="15" hidden="false" customHeight="false" outlineLevel="0" collapsed="false">
      <c r="A385" s="0" t="n">
        <f aca="false">A384+1</f>
        <v>384</v>
      </c>
    </row>
    <row r="386" customFormat="false" ht="15" hidden="false" customHeight="false" outlineLevel="0" collapsed="false">
      <c r="A386" s="0" t="n">
        <f aca="false">A385+1</f>
        <v>385</v>
      </c>
    </row>
    <row r="387" customFormat="false" ht="15" hidden="false" customHeight="false" outlineLevel="0" collapsed="false">
      <c r="A387" s="0" t="n">
        <f aca="false">A386+1</f>
        <v>386</v>
      </c>
    </row>
    <row r="388" customFormat="false" ht="15" hidden="false" customHeight="false" outlineLevel="0" collapsed="false">
      <c r="A388" s="0" t="n">
        <f aca="false">A387+1</f>
        <v>387</v>
      </c>
    </row>
    <row r="389" customFormat="false" ht="15" hidden="false" customHeight="false" outlineLevel="0" collapsed="false">
      <c r="A389" s="0" t="n">
        <f aca="false">A388+1</f>
        <v>388</v>
      </c>
    </row>
    <row r="390" customFormat="false" ht="15" hidden="false" customHeight="false" outlineLevel="0" collapsed="false">
      <c r="A390" s="0" t="n">
        <f aca="false">A389+1</f>
        <v>389</v>
      </c>
    </row>
    <row r="391" customFormat="false" ht="15" hidden="false" customHeight="false" outlineLevel="0" collapsed="false">
      <c r="A391" s="0" t="n">
        <f aca="false">A390+1</f>
        <v>390</v>
      </c>
    </row>
    <row r="392" customFormat="false" ht="15" hidden="false" customHeight="false" outlineLevel="0" collapsed="false">
      <c r="A392" s="0" t="n">
        <f aca="false">A391+1</f>
        <v>391</v>
      </c>
    </row>
    <row r="393" customFormat="false" ht="15" hidden="false" customHeight="false" outlineLevel="0" collapsed="false">
      <c r="A393" s="0" t="n">
        <f aca="false">A392+1</f>
        <v>392</v>
      </c>
    </row>
    <row r="394" customFormat="false" ht="15" hidden="false" customHeight="false" outlineLevel="0" collapsed="false">
      <c r="A394" s="0" t="n">
        <f aca="false">A393+1</f>
        <v>393</v>
      </c>
    </row>
    <row r="395" customFormat="false" ht="15" hidden="false" customHeight="false" outlineLevel="0" collapsed="false">
      <c r="A395" s="0" t="n">
        <f aca="false">A394+1</f>
        <v>394</v>
      </c>
    </row>
    <row r="396" customFormat="false" ht="15" hidden="false" customHeight="false" outlineLevel="0" collapsed="false">
      <c r="A396" s="0" t="n">
        <f aca="false">A395+1</f>
        <v>395</v>
      </c>
    </row>
    <row r="397" customFormat="false" ht="15" hidden="false" customHeight="false" outlineLevel="0" collapsed="false">
      <c r="A397" s="0" t="n">
        <f aca="false">A396+1</f>
        <v>396</v>
      </c>
    </row>
    <row r="398" customFormat="false" ht="15" hidden="false" customHeight="false" outlineLevel="0" collapsed="false">
      <c r="A398" s="0" t="n">
        <f aca="false">A397+1</f>
        <v>397</v>
      </c>
    </row>
    <row r="399" customFormat="false" ht="15" hidden="false" customHeight="false" outlineLevel="0" collapsed="false">
      <c r="A399" s="0" t="n">
        <f aca="false">A398+1</f>
        <v>398</v>
      </c>
    </row>
    <row r="400" customFormat="false" ht="15" hidden="false" customHeight="false" outlineLevel="0" collapsed="false">
      <c r="A400" s="0" t="n">
        <f aca="false">A399+1</f>
        <v>399</v>
      </c>
    </row>
    <row r="401" customFormat="false" ht="15" hidden="false" customHeight="false" outlineLevel="0" collapsed="false">
      <c r="A401" s="0" t="n">
        <f aca="false">A400+1</f>
        <v>400</v>
      </c>
    </row>
    <row r="402" customFormat="false" ht="15" hidden="false" customHeight="false" outlineLevel="0" collapsed="false">
      <c r="A402" s="0" t="n">
        <f aca="false">A401+1</f>
        <v>401</v>
      </c>
    </row>
    <row r="403" customFormat="false" ht="15" hidden="false" customHeight="false" outlineLevel="0" collapsed="false">
      <c r="A403" s="0" t="n">
        <f aca="false">A402+1</f>
        <v>402</v>
      </c>
    </row>
    <row r="404" customFormat="false" ht="15" hidden="false" customHeight="false" outlineLevel="0" collapsed="false">
      <c r="A404" s="0" t="n">
        <f aca="false">A403+1</f>
        <v>403</v>
      </c>
    </row>
    <row r="405" customFormat="false" ht="15" hidden="false" customHeight="false" outlineLevel="0" collapsed="false">
      <c r="A405" s="0" t="n">
        <f aca="false">A404+1</f>
        <v>404</v>
      </c>
    </row>
    <row r="406" customFormat="false" ht="15" hidden="false" customHeight="false" outlineLevel="0" collapsed="false">
      <c r="A406" s="0" t="n">
        <f aca="false">A405+1</f>
        <v>405</v>
      </c>
    </row>
    <row r="407" customFormat="false" ht="15" hidden="false" customHeight="false" outlineLevel="0" collapsed="false">
      <c r="A407" s="0" t="n">
        <f aca="false">A406+1</f>
        <v>406</v>
      </c>
    </row>
    <row r="408" customFormat="false" ht="15" hidden="false" customHeight="false" outlineLevel="0" collapsed="false">
      <c r="A408" s="0" t="n">
        <f aca="false">A407+1</f>
        <v>407</v>
      </c>
    </row>
    <row r="409" customFormat="false" ht="15" hidden="false" customHeight="false" outlineLevel="0" collapsed="false">
      <c r="A409" s="0" t="n">
        <f aca="false">A408+1</f>
        <v>408</v>
      </c>
    </row>
    <row r="410" customFormat="false" ht="15" hidden="false" customHeight="false" outlineLevel="0" collapsed="false">
      <c r="A410" s="0" t="n">
        <f aca="false">A409+1</f>
        <v>409</v>
      </c>
    </row>
    <row r="411" customFormat="false" ht="15" hidden="false" customHeight="false" outlineLevel="0" collapsed="false">
      <c r="A411" s="0" t="n">
        <f aca="false">A410+1</f>
        <v>410</v>
      </c>
    </row>
    <row r="412" customFormat="false" ht="15" hidden="false" customHeight="false" outlineLevel="0" collapsed="false">
      <c r="A412" s="0" t="n">
        <f aca="false">A411+1</f>
        <v>411</v>
      </c>
    </row>
    <row r="413" customFormat="false" ht="15" hidden="false" customHeight="false" outlineLevel="0" collapsed="false">
      <c r="A413" s="0" t="n">
        <f aca="false">A412+1</f>
        <v>412</v>
      </c>
    </row>
    <row r="414" customFormat="false" ht="15" hidden="false" customHeight="false" outlineLevel="0" collapsed="false">
      <c r="A414" s="0" t="n">
        <f aca="false">A413+1</f>
        <v>413</v>
      </c>
    </row>
    <row r="415" customFormat="false" ht="15" hidden="false" customHeight="false" outlineLevel="0" collapsed="false">
      <c r="A415" s="0" t="n">
        <f aca="false">A414+1</f>
        <v>414</v>
      </c>
    </row>
    <row r="416" customFormat="false" ht="15" hidden="false" customHeight="false" outlineLevel="0" collapsed="false">
      <c r="A416" s="0" t="n">
        <f aca="false">A415+1</f>
        <v>415</v>
      </c>
    </row>
    <row r="417" customFormat="false" ht="15" hidden="false" customHeight="false" outlineLevel="0" collapsed="false">
      <c r="A417" s="0" t="n">
        <f aca="false">A416+1</f>
        <v>416</v>
      </c>
    </row>
    <row r="418" customFormat="false" ht="15" hidden="false" customHeight="false" outlineLevel="0" collapsed="false">
      <c r="A418" s="0" t="n">
        <f aca="false">A417+1</f>
        <v>417</v>
      </c>
    </row>
    <row r="419" customFormat="false" ht="15" hidden="false" customHeight="false" outlineLevel="0" collapsed="false">
      <c r="A419" s="0" t="n">
        <f aca="false">A418+1</f>
        <v>418</v>
      </c>
    </row>
    <row r="420" customFormat="false" ht="15" hidden="false" customHeight="false" outlineLevel="0" collapsed="false">
      <c r="A420" s="0" t="n">
        <f aca="false">A419+1</f>
        <v>419</v>
      </c>
    </row>
    <row r="421" customFormat="false" ht="15" hidden="false" customHeight="false" outlineLevel="0" collapsed="false">
      <c r="A421" s="0" t="n">
        <f aca="false">A420+1</f>
        <v>420</v>
      </c>
    </row>
    <row r="422" customFormat="false" ht="15" hidden="false" customHeight="false" outlineLevel="0" collapsed="false">
      <c r="A422" s="0" t="n">
        <f aca="false">A421+1</f>
        <v>421</v>
      </c>
    </row>
    <row r="423" customFormat="false" ht="15" hidden="false" customHeight="false" outlineLevel="0" collapsed="false">
      <c r="A423" s="0" t="n">
        <f aca="false">A422+1</f>
        <v>422</v>
      </c>
    </row>
    <row r="424" customFormat="false" ht="15" hidden="false" customHeight="false" outlineLevel="0" collapsed="false">
      <c r="A424" s="0" t="n">
        <f aca="false">A423+1</f>
        <v>423</v>
      </c>
    </row>
    <row r="425" customFormat="false" ht="15" hidden="false" customHeight="false" outlineLevel="0" collapsed="false">
      <c r="A425" s="0" t="n">
        <f aca="false">A424+1</f>
        <v>424</v>
      </c>
    </row>
    <row r="426" customFormat="false" ht="15" hidden="false" customHeight="false" outlineLevel="0" collapsed="false">
      <c r="A426" s="0" t="n">
        <f aca="false">A425+1</f>
        <v>425</v>
      </c>
    </row>
    <row r="427" customFormat="false" ht="15" hidden="false" customHeight="false" outlineLevel="0" collapsed="false">
      <c r="A427" s="0" t="n">
        <f aca="false">A426+1</f>
        <v>426</v>
      </c>
    </row>
    <row r="428" customFormat="false" ht="15" hidden="false" customHeight="false" outlineLevel="0" collapsed="false">
      <c r="A428" s="0" t="n">
        <f aca="false">A427+1</f>
        <v>427</v>
      </c>
    </row>
    <row r="429" customFormat="false" ht="15" hidden="false" customHeight="false" outlineLevel="0" collapsed="false">
      <c r="A429" s="0" t="n">
        <f aca="false">A428+1</f>
        <v>428</v>
      </c>
    </row>
    <row r="430" customFormat="false" ht="15" hidden="false" customHeight="false" outlineLevel="0" collapsed="false">
      <c r="A430" s="0" t="n">
        <f aca="false">A429+1</f>
        <v>429</v>
      </c>
    </row>
    <row r="431" customFormat="false" ht="15" hidden="false" customHeight="false" outlineLevel="0" collapsed="false">
      <c r="A431" s="0" t="n">
        <f aca="false">A430+1</f>
        <v>430</v>
      </c>
    </row>
    <row r="432" customFormat="false" ht="15" hidden="false" customHeight="false" outlineLevel="0" collapsed="false">
      <c r="A432" s="0" t="n">
        <f aca="false">A431+1</f>
        <v>431</v>
      </c>
    </row>
    <row r="433" customFormat="false" ht="15" hidden="false" customHeight="false" outlineLevel="0" collapsed="false">
      <c r="A433" s="0" t="n">
        <f aca="false">A432+1</f>
        <v>432</v>
      </c>
    </row>
    <row r="434" customFormat="false" ht="15" hidden="false" customHeight="false" outlineLevel="0" collapsed="false">
      <c r="A434" s="0" t="n">
        <f aca="false">A433+1</f>
        <v>433</v>
      </c>
    </row>
    <row r="435" customFormat="false" ht="15" hidden="false" customHeight="false" outlineLevel="0" collapsed="false">
      <c r="A435" s="0" t="n">
        <f aca="false">A434+1</f>
        <v>434</v>
      </c>
    </row>
    <row r="436" customFormat="false" ht="15" hidden="false" customHeight="false" outlineLevel="0" collapsed="false">
      <c r="A436" s="0" t="n">
        <f aca="false">A435+1</f>
        <v>435</v>
      </c>
    </row>
    <row r="437" customFormat="false" ht="15" hidden="false" customHeight="false" outlineLevel="0" collapsed="false">
      <c r="A437" s="0" t="n">
        <f aca="false">A436+1</f>
        <v>436</v>
      </c>
    </row>
    <row r="438" customFormat="false" ht="15" hidden="false" customHeight="false" outlineLevel="0" collapsed="false">
      <c r="A438" s="0" t="n">
        <f aca="false">A437+1</f>
        <v>437</v>
      </c>
    </row>
    <row r="439" customFormat="false" ht="15" hidden="false" customHeight="false" outlineLevel="0" collapsed="false">
      <c r="A439" s="0" t="n">
        <f aca="false">A438+1</f>
        <v>438</v>
      </c>
    </row>
    <row r="440" customFormat="false" ht="15" hidden="false" customHeight="false" outlineLevel="0" collapsed="false">
      <c r="A440" s="0" t="n">
        <f aca="false">A439+1</f>
        <v>439</v>
      </c>
    </row>
    <row r="441" customFormat="false" ht="15" hidden="false" customHeight="false" outlineLevel="0" collapsed="false">
      <c r="A441" s="0" t="n">
        <f aca="false">A440+1</f>
        <v>440</v>
      </c>
    </row>
    <row r="442" customFormat="false" ht="15" hidden="false" customHeight="false" outlineLevel="0" collapsed="false">
      <c r="A442" s="0" t="n">
        <f aca="false">A441+1</f>
        <v>441</v>
      </c>
    </row>
    <row r="443" customFormat="false" ht="15" hidden="false" customHeight="false" outlineLevel="0" collapsed="false">
      <c r="A443" s="0" t="n">
        <f aca="false">A442+1</f>
        <v>442</v>
      </c>
    </row>
    <row r="444" customFormat="false" ht="15" hidden="false" customHeight="false" outlineLevel="0" collapsed="false">
      <c r="A444" s="0" t="n">
        <f aca="false">A443+1</f>
        <v>443</v>
      </c>
    </row>
    <row r="445" customFormat="false" ht="15" hidden="false" customHeight="false" outlineLevel="0" collapsed="false">
      <c r="A445" s="0" t="n">
        <f aca="false">A444+1</f>
        <v>444</v>
      </c>
    </row>
    <row r="446" customFormat="false" ht="15" hidden="false" customHeight="false" outlineLevel="0" collapsed="false">
      <c r="A446" s="0" t="n">
        <f aca="false">A445+1</f>
        <v>445</v>
      </c>
    </row>
    <row r="447" customFormat="false" ht="15" hidden="false" customHeight="false" outlineLevel="0" collapsed="false">
      <c r="A447" s="0" t="n">
        <f aca="false">A446+1</f>
        <v>446</v>
      </c>
    </row>
    <row r="448" customFormat="false" ht="15" hidden="false" customHeight="false" outlineLevel="0" collapsed="false">
      <c r="A448" s="0" t="n">
        <f aca="false">A447+1</f>
        <v>447</v>
      </c>
    </row>
    <row r="449" customFormat="false" ht="15" hidden="false" customHeight="false" outlineLevel="0" collapsed="false">
      <c r="A449" s="0" t="n">
        <f aca="false">A448+1</f>
        <v>448</v>
      </c>
    </row>
    <row r="450" customFormat="false" ht="15" hidden="false" customHeight="false" outlineLevel="0" collapsed="false">
      <c r="A450" s="0" t="n">
        <f aca="false">A449+1</f>
        <v>449</v>
      </c>
    </row>
    <row r="451" customFormat="false" ht="15" hidden="false" customHeight="false" outlineLevel="0" collapsed="false">
      <c r="A451" s="0" t="n">
        <f aca="false">A450+1</f>
        <v>450</v>
      </c>
    </row>
    <row r="452" customFormat="false" ht="15" hidden="false" customHeight="false" outlineLevel="0" collapsed="false">
      <c r="A452" s="0" t="n">
        <f aca="false">A451+1</f>
        <v>451</v>
      </c>
    </row>
    <row r="453" customFormat="false" ht="15" hidden="false" customHeight="false" outlineLevel="0" collapsed="false">
      <c r="A453" s="0" t="n">
        <f aca="false">A452+1</f>
        <v>452</v>
      </c>
    </row>
    <row r="454" customFormat="false" ht="15" hidden="false" customHeight="false" outlineLevel="0" collapsed="false">
      <c r="A454" s="0" t="n">
        <f aca="false">A453+1</f>
        <v>453</v>
      </c>
    </row>
    <row r="455" customFormat="false" ht="15" hidden="false" customHeight="false" outlineLevel="0" collapsed="false">
      <c r="A455" s="0" t="n">
        <f aca="false">A454+1</f>
        <v>454</v>
      </c>
    </row>
    <row r="456" customFormat="false" ht="15" hidden="false" customHeight="false" outlineLevel="0" collapsed="false">
      <c r="A456" s="0" t="n">
        <f aca="false">A455+1</f>
        <v>455</v>
      </c>
    </row>
    <row r="457" customFormat="false" ht="15" hidden="false" customHeight="false" outlineLevel="0" collapsed="false">
      <c r="A457" s="0" t="n">
        <f aca="false">A456+1</f>
        <v>456</v>
      </c>
    </row>
    <row r="458" customFormat="false" ht="15" hidden="false" customHeight="false" outlineLevel="0" collapsed="false">
      <c r="A458" s="0" t="n">
        <f aca="false">A457+1</f>
        <v>457</v>
      </c>
    </row>
    <row r="459" customFormat="false" ht="15" hidden="false" customHeight="false" outlineLevel="0" collapsed="false">
      <c r="A459" s="0" t="n">
        <f aca="false">A458+1</f>
        <v>458</v>
      </c>
    </row>
    <row r="460" customFormat="false" ht="15" hidden="false" customHeight="false" outlineLevel="0" collapsed="false">
      <c r="A460" s="0" t="n">
        <f aca="false">A459+1</f>
        <v>459</v>
      </c>
    </row>
    <row r="461" customFormat="false" ht="15" hidden="false" customHeight="false" outlineLevel="0" collapsed="false">
      <c r="A461" s="0" t="n">
        <f aca="false">A460+1</f>
        <v>460</v>
      </c>
    </row>
    <row r="462" customFormat="false" ht="15" hidden="false" customHeight="false" outlineLevel="0" collapsed="false">
      <c r="A462" s="0" t="n">
        <f aca="false">A461+1</f>
        <v>461</v>
      </c>
    </row>
    <row r="463" customFormat="false" ht="15" hidden="false" customHeight="false" outlineLevel="0" collapsed="false">
      <c r="A463" s="0" t="n">
        <f aca="false">A462+1</f>
        <v>462</v>
      </c>
    </row>
    <row r="464" customFormat="false" ht="15" hidden="false" customHeight="false" outlineLevel="0" collapsed="false">
      <c r="A464" s="0" t="n">
        <f aca="false">A463+1</f>
        <v>463</v>
      </c>
    </row>
    <row r="465" customFormat="false" ht="15" hidden="false" customHeight="false" outlineLevel="0" collapsed="false">
      <c r="A465" s="0" t="n">
        <f aca="false">A464+1</f>
        <v>464</v>
      </c>
    </row>
    <row r="466" customFormat="false" ht="15" hidden="false" customHeight="false" outlineLevel="0" collapsed="false">
      <c r="A466" s="0" t="n">
        <f aca="false">A465+1</f>
        <v>465</v>
      </c>
    </row>
    <row r="467" customFormat="false" ht="15" hidden="false" customHeight="false" outlineLevel="0" collapsed="false">
      <c r="A467" s="0" t="n">
        <f aca="false">A466+1</f>
        <v>466</v>
      </c>
    </row>
    <row r="468" customFormat="false" ht="15" hidden="false" customHeight="false" outlineLevel="0" collapsed="false">
      <c r="A468" s="0" t="n">
        <f aca="false">A467+1</f>
        <v>467</v>
      </c>
    </row>
    <row r="469" customFormat="false" ht="15" hidden="false" customHeight="false" outlineLevel="0" collapsed="false">
      <c r="A469" s="0" t="n">
        <f aca="false">A468+1</f>
        <v>468</v>
      </c>
    </row>
    <row r="470" customFormat="false" ht="15" hidden="false" customHeight="false" outlineLevel="0" collapsed="false">
      <c r="A470" s="0" t="n">
        <f aca="false">A469+1</f>
        <v>469</v>
      </c>
    </row>
    <row r="471" customFormat="false" ht="15" hidden="false" customHeight="false" outlineLevel="0" collapsed="false">
      <c r="A471" s="0" t="n">
        <f aca="false">A470+1</f>
        <v>470</v>
      </c>
    </row>
    <row r="472" customFormat="false" ht="15" hidden="false" customHeight="false" outlineLevel="0" collapsed="false">
      <c r="A472" s="0" t="n">
        <f aca="false">A471+1</f>
        <v>471</v>
      </c>
    </row>
    <row r="473" customFormat="false" ht="15" hidden="false" customHeight="false" outlineLevel="0" collapsed="false">
      <c r="A473" s="0" t="n">
        <f aca="false">A472+1</f>
        <v>472</v>
      </c>
    </row>
    <row r="474" customFormat="false" ht="15" hidden="false" customHeight="false" outlineLevel="0" collapsed="false">
      <c r="A474" s="0" t="n">
        <f aca="false">A473+1</f>
        <v>473</v>
      </c>
    </row>
    <row r="475" customFormat="false" ht="15" hidden="false" customHeight="false" outlineLevel="0" collapsed="false">
      <c r="A475" s="0" t="n">
        <f aca="false">A474+1</f>
        <v>474</v>
      </c>
    </row>
    <row r="476" customFormat="false" ht="15" hidden="false" customHeight="false" outlineLevel="0" collapsed="false">
      <c r="A476" s="0" t="n">
        <f aca="false">A475+1</f>
        <v>475</v>
      </c>
    </row>
    <row r="477" customFormat="false" ht="15" hidden="false" customHeight="false" outlineLevel="0" collapsed="false">
      <c r="A477" s="0" t="n">
        <f aca="false">A476+1</f>
        <v>476</v>
      </c>
    </row>
    <row r="478" customFormat="false" ht="15" hidden="false" customHeight="false" outlineLevel="0" collapsed="false">
      <c r="A478" s="0" t="n">
        <f aca="false">A477+1</f>
        <v>477</v>
      </c>
    </row>
    <row r="479" customFormat="false" ht="15" hidden="false" customHeight="false" outlineLevel="0" collapsed="false">
      <c r="A479" s="0" t="n">
        <f aca="false">A478+1</f>
        <v>478</v>
      </c>
    </row>
    <row r="480" customFormat="false" ht="15" hidden="false" customHeight="false" outlineLevel="0" collapsed="false">
      <c r="A480" s="0" t="n">
        <f aca="false">A479+1</f>
        <v>479</v>
      </c>
    </row>
    <row r="481" customFormat="false" ht="15" hidden="false" customHeight="false" outlineLevel="0" collapsed="false">
      <c r="A481" s="0" t="n">
        <f aca="false">A480+1</f>
        <v>480</v>
      </c>
    </row>
    <row r="482" customFormat="false" ht="15" hidden="false" customHeight="false" outlineLevel="0" collapsed="false">
      <c r="A482" s="0" t="n">
        <f aca="false">A481+1</f>
        <v>481</v>
      </c>
    </row>
    <row r="483" customFormat="false" ht="15" hidden="false" customHeight="false" outlineLevel="0" collapsed="false">
      <c r="A483" s="0" t="n">
        <f aca="false">A482+1</f>
        <v>482</v>
      </c>
    </row>
    <row r="484" customFormat="false" ht="15" hidden="false" customHeight="false" outlineLevel="0" collapsed="false">
      <c r="A484" s="0" t="n">
        <f aca="false">A483+1</f>
        <v>483</v>
      </c>
    </row>
    <row r="485" customFormat="false" ht="15" hidden="false" customHeight="false" outlineLevel="0" collapsed="false">
      <c r="A485" s="0" t="n">
        <f aca="false">A484+1</f>
        <v>484</v>
      </c>
    </row>
    <row r="486" customFormat="false" ht="15" hidden="false" customHeight="false" outlineLevel="0" collapsed="false">
      <c r="A486" s="0" t="n">
        <f aca="false">A485+1</f>
        <v>485</v>
      </c>
    </row>
    <row r="487" customFormat="false" ht="15" hidden="false" customHeight="false" outlineLevel="0" collapsed="false">
      <c r="A487" s="0" t="n">
        <f aca="false">A486+1</f>
        <v>486</v>
      </c>
    </row>
    <row r="488" customFormat="false" ht="15" hidden="false" customHeight="false" outlineLevel="0" collapsed="false">
      <c r="A488" s="0" t="n">
        <f aca="false">A487+1</f>
        <v>487</v>
      </c>
    </row>
    <row r="489" customFormat="false" ht="15" hidden="false" customHeight="false" outlineLevel="0" collapsed="false">
      <c r="A489" s="0" t="n">
        <f aca="false">A488+1</f>
        <v>488</v>
      </c>
    </row>
    <row r="490" customFormat="false" ht="15" hidden="false" customHeight="false" outlineLevel="0" collapsed="false">
      <c r="A490" s="0" t="n">
        <f aca="false">A489+1</f>
        <v>489</v>
      </c>
    </row>
    <row r="491" customFormat="false" ht="15" hidden="false" customHeight="false" outlineLevel="0" collapsed="false">
      <c r="A491" s="0" t="n">
        <f aca="false">A490+1</f>
        <v>490</v>
      </c>
    </row>
    <row r="492" customFormat="false" ht="15" hidden="false" customHeight="false" outlineLevel="0" collapsed="false">
      <c r="A492" s="0" t="n">
        <f aca="false">A491+1</f>
        <v>491</v>
      </c>
    </row>
    <row r="493" customFormat="false" ht="15" hidden="false" customHeight="false" outlineLevel="0" collapsed="false">
      <c r="A493" s="0" t="n">
        <f aca="false">A492+1</f>
        <v>492</v>
      </c>
    </row>
    <row r="494" customFormat="false" ht="15" hidden="false" customHeight="false" outlineLevel="0" collapsed="false">
      <c r="A494" s="0" t="n">
        <f aca="false">A493+1</f>
        <v>493</v>
      </c>
    </row>
    <row r="495" customFormat="false" ht="15" hidden="false" customHeight="false" outlineLevel="0" collapsed="false">
      <c r="A495" s="0" t="n">
        <f aca="false">A494+1</f>
        <v>494</v>
      </c>
    </row>
    <row r="496" customFormat="false" ht="15" hidden="false" customHeight="false" outlineLevel="0" collapsed="false">
      <c r="A496" s="0" t="n">
        <f aca="false">A495+1</f>
        <v>495</v>
      </c>
    </row>
    <row r="497" customFormat="false" ht="15" hidden="false" customHeight="false" outlineLevel="0" collapsed="false">
      <c r="A497" s="0" t="n">
        <f aca="false">A496+1</f>
        <v>496</v>
      </c>
    </row>
    <row r="498" customFormat="false" ht="15" hidden="false" customHeight="false" outlineLevel="0" collapsed="false">
      <c r="A498" s="0" t="n">
        <f aca="false">A497+1</f>
        <v>497</v>
      </c>
    </row>
    <row r="499" customFormat="false" ht="15" hidden="false" customHeight="false" outlineLevel="0" collapsed="false">
      <c r="A499" s="0" t="n">
        <f aca="false">A498+1</f>
        <v>498</v>
      </c>
    </row>
    <row r="500" customFormat="false" ht="15" hidden="false" customHeight="false" outlineLevel="0" collapsed="false">
      <c r="A500" s="0" t="n">
        <f aca="false">A499+1</f>
        <v>499</v>
      </c>
    </row>
    <row r="501" customFormat="false" ht="15" hidden="false" customHeight="false" outlineLevel="0" collapsed="false">
      <c r="A501" s="0" t="n">
        <f aca="false">A500+1</f>
        <v>500</v>
      </c>
    </row>
    <row r="502" customFormat="false" ht="15" hidden="false" customHeight="false" outlineLevel="0" collapsed="false">
      <c r="A502" s="0" t="n">
        <f aca="false">A501+1</f>
        <v>501</v>
      </c>
    </row>
    <row r="503" customFormat="false" ht="15" hidden="false" customHeight="false" outlineLevel="0" collapsed="false">
      <c r="A503" s="0" t="n">
        <f aca="false">A502+1</f>
        <v>502</v>
      </c>
    </row>
    <row r="504" customFormat="false" ht="15" hidden="false" customHeight="false" outlineLevel="0" collapsed="false">
      <c r="A504" s="0" t="n">
        <f aca="false">A503+1</f>
        <v>503</v>
      </c>
    </row>
    <row r="505" customFormat="false" ht="15" hidden="false" customHeight="false" outlineLevel="0" collapsed="false">
      <c r="A505" s="0" t="n">
        <f aca="false">A504+1</f>
        <v>504</v>
      </c>
    </row>
    <row r="506" customFormat="false" ht="15" hidden="false" customHeight="false" outlineLevel="0" collapsed="false">
      <c r="A506" s="0" t="n">
        <f aca="false">A505+1</f>
        <v>505</v>
      </c>
    </row>
    <row r="507" customFormat="false" ht="15" hidden="false" customHeight="false" outlineLevel="0" collapsed="false">
      <c r="A507" s="0" t="n">
        <f aca="false">A506+1</f>
        <v>506</v>
      </c>
    </row>
    <row r="508" customFormat="false" ht="15" hidden="false" customHeight="false" outlineLevel="0" collapsed="false">
      <c r="A508" s="0" t="n">
        <f aca="false">A507+1</f>
        <v>507</v>
      </c>
    </row>
    <row r="509" customFormat="false" ht="15" hidden="false" customHeight="false" outlineLevel="0" collapsed="false">
      <c r="A509" s="0" t="n">
        <f aca="false">A508+1</f>
        <v>508</v>
      </c>
    </row>
    <row r="510" customFormat="false" ht="15" hidden="false" customHeight="false" outlineLevel="0" collapsed="false">
      <c r="A510" s="0" t="n">
        <f aca="false">A509+1</f>
        <v>509</v>
      </c>
    </row>
    <row r="511" customFormat="false" ht="15" hidden="false" customHeight="false" outlineLevel="0" collapsed="false">
      <c r="A511" s="0" t="n">
        <f aca="false">A510+1</f>
        <v>510</v>
      </c>
    </row>
    <row r="512" customFormat="false" ht="15" hidden="false" customHeight="false" outlineLevel="0" collapsed="false">
      <c r="A512" s="0" t="n">
        <f aca="false">A511+1</f>
        <v>511</v>
      </c>
    </row>
    <row r="513" customFormat="false" ht="15" hidden="false" customHeight="false" outlineLevel="0" collapsed="false">
      <c r="A513" s="0" t="n">
        <f aca="false">A512+1</f>
        <v>512</v>
      </c>
    </row>
    <row r="514" customFormat="false" ht="15" hidden="false" customHeight="false" outlineLevel="0" collapsed="false">
      <c r="A514" s="0" t="n">
        <f aca="false">A513+1</f>
        <v>513</v>
      </c>
    </row>
    <row r="515" customFormat="false" ht="15" hidden="false" customHeight="false" outlineLevel="0" collapsed="false">
      <c r="A515" s="0" t="n">
        <f aca="false">A514+1</f>
        <v>514</v>
      </c>
    </row>
    <row r="516" customFormat="false" ht="15" hidden="false" customHeight="false" outlineLevel="0" collapsed="false">
      <c r="A516" s="0" t="n">
        <f aca="false">A515+1</f>
        <v>515</v>
      </c>
    </row>
    <row r="517" customFormat="false" ht="15" hidden="false" customHeight="false" outlineLevel="0" collapsed="false">
      <c r="A517" s="0" t="n">
        <f aca="false">A516+1</f>
        <v>516</v>
      </c>
    </row>
    <row r="518" customFormat="false" ht="15" hidden="false" customHeight="false" outlineLevel="0" collapsed="false">
      <c r="A518" s="0" t="n">
        <f aca="false">A517+1</f>
        <v>517</v>
      </c>
    </row>
    <row r="519" customFormat="false" ht="15" hidden="false" customHeight="false" outlineLevel="0" collapsed="false">
      <c r="A519" s="0" t="n">
        <f aca="false">A518+1</f>
        <v>518</v>
      </c>
    </row>
    <row r="520" customFormat="false" ht="15" hidden="false" customHeight="false" outlineLevel="0" collapsed="false">
      <c r="A520" s="0" t="n">
        <f aca="false">A519+1</f>
        <v>519</v>
      </c>
    </row>
    <row r="521" customFormat="false" ht="15" hidden="false" customHeight="false" outlineLevel="0" collapsed="false">
      <c r="A521" s="0" t="n">
        <f aca="false">A520+1</f>
        <v>520</v>
      </c>
    </row>
    <row r="522" customFormat="false" ht="15" hidden="false" customHeight="false" outlineLevel="0" collapsed="false">
      <c r="A522" s="0" t="n">
        <f aca="false">A521+1</f>
        <v>521</v>
      </c>
    </row>
    <row r="523" customFormat="false" ht="15" hidden="false" customHeight="false" outlineLevel="0" collapsed="false">
      <c r="A523" s="0" t="n">
        <f aca="false">A522+1</f>
        <v>522</v>
      </c>
    </row>
    <row r="524" customFormat="false" ht="15" hidden="false" customHeight="false" outlineLevel="0" collapsed="false">
      <c r="A524" s="0" t="n">
        <f aca="false">A523+1</f>
        <v>523</v>
      </c>
    </row>
    <row r="525" customFormat="false" ht="15" hidden="false" customHeight="false" outlineLevel="0" collapsed="false">
      <c r="A525" s="0" t="n">
        <f aca="false">A524+1</f>
        <v>524</v>
      </c>
    </row>
    <row r="526" customFormat="false" ht="15" hidden="false" customHeight="false" outlineLevel="0" collapsed="false">
      <c r="A526" s="0" t="n">
        <f aca="false">A525+1</f>
        <v>525</v>
      </c>
    </row>
    <row r="527" customFormat="false" ht="15" hidden="false" customHeight="false" outlineLevel="0" collapsed="false">
      <c r="A527" s="0" t="n">
        <f aca="false">A526+1</f>
        <v>526</v>
      </c>
    </row>
    <row r="528" customFormat="false" ht="15" hidden="false" customHeight="false" outlineLevel="0" collapsed="false">
      <c r="A528" s="0" t="n">
        <f aca="false">A527+1</f>
        <v>527</v>
      </c>
    </row>
    <row r="529" customFormat="false" ht="15" hidden="false" customHeight="false" outlineLevel="0" collapsed="false">
      <c r="A529" s="0" t="n">
        <f aca="false">A528+1</f>
        <v>528</v>
      </c>
    </row>
    <row r="530" customFormat="false" ht="15" hidden="false" customHeight="false" outlineLevel="0" collapsed="false">
      <c r="A530" s="0" t="n">
        <f aca="false">A529+1</f>
        <v>529</v>
      </c>
    </row>
    <row r="531" customFormat="false" ht="15" hidden="false" customHeight="false" outlineLevel="0" collapsed="false">
      <c r="A531" s="0" t="n">
        <f aca="false">A530+1</f>
        <v>530</v>
      </c>
    </row>
    <row r="532" customFormat="false" ht="15" hidden="false" customHeight="false" outlineLevel="0" collapsed="false">
      <c r="A532" s="0" t="n">
        <f aca="false">A531+1</f>
        <v>531</v>
      </c>
    </row>
    <row r="533" customFormat="false" ht="15" hidden="false" customHeight="false" outlineLevel="0" collapsed="false">
      <c r="A533" s="0" t="n">
        <f aca="false">A532+1</f>
        <v>532</v>
      </c>
    </row>
    <row r="534" customFormat="false" ht="15" hidden="false" customHeight="false" outlineLevel="0" collapsed="false">
      <c r="A534" s="0" t="n">
        <f aca="false">A533+1</f>
        <v>533</v>
      </c>
    </row>
    <row r="535" customFormat="false" ht="15" hidden="false" customHeight="false" outlineLevel="0" collapsed="false">
      <c r="A535" s="0" t="n">
        <f aca="false">A534+1</f>
        <v>534</v>
      </c>
    </row>
    <row r="536" customFormat="false" ht="15" hidden="false" customHeight="false" outlineLevel="0" collapsed="false">
      <c r="A536" s="0" t="n">
        <f aca="false">A535+1</f>
        <v>535</v>
      </c>
    </row>
    <row r="537" customFormat="false" ht="15" hidden="false" customHeight="false" outlineLevel="0" collapsed="false">
      <c r="A537" s="0" t="n">
        <f aca="false">A536+1</f>
        <v>536</v>
      </c>
    </row>
    <row r="538" customFormat="false" ht="15" hidden="false" customHeight="false" outlineLevel="0" collapsed="false">
      <c r="A538" s="0" t="n">
        <f aca="false">A537+1</f>
        <v>537</v>
      </c>
    </row>
    <row r="539" customFormat="false" ht="15" hidden="false" customHeight="false" outlineLevel="0" collapsed="false">
      <c r="A539" s="0" t="n">
        <f aca="false">A538+1</f>
        <v>538</v>
      </c>
    </row>
    <row r="540" customFormat="false" ht="15" hidden="false" customHeight="false" outlineLevel="0" collapsed="false">
      <c r="A540" s="0" t="n">
        <f aca="false">A539+1</f>
        <v>539</v>
      </c>
    </row>
    <row r="541" customFormat="false" ht="15" hidden="false" customHeight="false" outlineLevel="0" collapsed="false">
      <c r="A541" s="0" t="n">
        <f aca="false">A540+1</f>
        <v>540</v>
      </c>
    </row>
    <row r="542" customFormat="false" ht="15" hidden="false" customHeight="false" outlineLevel="0" collapsed="false">
      <c r="A542" s="0" t="n">
        <f aca="false">A541+1</f>
        <v>541</v>
      </c>
    </row>
    <row r="543" customFormat="false" ht="15" hidden="false" customHeight="false" outlineLevel="0" collapsed="false">
      <c r="A543" s="0" t="n">
        <f aca="false">A542+1</f>
        <v>542</v>
      </c>
    </row>
    <row r="544" customFormat="false" ht="15" hidden="false" customHeight="false" outlineLevel="0" collapsed="false">
      <c r="A544" s="0" t="n">
        <f aca="false">A543+1</f>
        <v>543</v>
      </c>
    </row>
    <row r="545" customFormat="false" ht="15" hidden="false" customHeight="false" outlineLevel="0" collapsed="false">
      <c r="A545" s="0" t="n">
        <f aca="false">A544+1</f>
        <v>544</v>
      </c>
    </row>
    <row r="546" customFormat="false" ht="15" hidden="false" customHeight="false" outlineLevel="0" collapsed="false">
      <c r="A546" s="0" t="n">
        <f aca="false">A545+1</f>
        <v>545</v>
      </c>
    </row>
    <row r="547" customFormat="false" ht="15" hidden="false" customHeight="false" outlineLevel="0" collapsed="false">
      <c r="A547" s="0" t="n">
        <f aca="false">A546+1</f>
        <v>546</v>
      </c>
    </row>
    <row r="548" customFormat="false" ht="15" hidden="false" customHeight="false" outlineLevel="0" collapsed="false">
      <c r="A548" s="0" t="n">
        <f aca="false">A547+1</f>
        <v>547</v>
      </c>
    </row>
    <row r="549" customFormat="false" ht="15" hidden="false" customHeight="false" outlineLevel="0" collapsed="false">
      <c r="A549" s="0" t="n">
        <f aca="false">A548+1</f>
        <v>548</v>
      </c>
    </row>
    <row r="550" customFormat="false" ht="15" hidden="false" customHeight="false" outlineLevel="0" collapsed="false">
      <c r="A550" s="0" t="n">
        <f aca="false">A549+1</f>
        <v>549</v>
      </c>
    </row>
    <row r="551" customFormat="false" ht="15" hidden="false" customHeight="false" outlineLevel="0" collapsed="false">
      <c r="A551" s="0" t="n">
        <f aca="false">A550+1</f>
        <v>550</v>
      </c>
    </row>
    <row r="552" customFormat="false" ht="15" hidden="false" customHeight="false" outlineLevel="0" collapsed="false">
      <c r="A552" s="0" t="n">
        <f aca="false">A551+1</f>
        <v>551</v>
      </c>
    </row>
    <row r="553" customFormat="false" ht="15" hidden="false" customHeight="false" outlineLevel="0" collapsed="false">
      <c r="A553" s="0" t="n">
        <f aca="false">A552+1</f>
        <v>552</v>
      </c>
    </row>
    <row r="554" customFormat="false" ht="15" hidden="false" customHeight="false" outlineLevel="0" collapsed="false">
      <c r="A554" s="0" t="n">
        <f aca="false">A553+1</f>
        <v>553</v>
      </c>
    </row>
    <row r="555" customFormat="false" ht="15" hidden="false" customHeight="false" outlineLevel="0" collapsed="false">
      <c r="A555" s="0" t="n">
        <f aca="false">A554+1</f>
        <v>554</v>
      </c>
    </row>
    <row r="556" customFormat="false" ht="15" hidden="false" customHeight="false" outlineLevel="0" collapsed="false">
      <c r="A556" s="0" t="n">
        <f aca="false">A555+1</f>
        <v>555</v>
      </c>
    </row>
    <row r="557" customFormat="false" ht="15" hidden="false" customHeight="false" outlineLevel="0" collapsed="false">
      <c r="A557" s="0" t="n">
        <f aca="false">A556+1</f>
        <v>556</v>
      </c>
    </row>
    <row r="558" customFormat="false" ht="15" hidden="false" customHeight="false" outlineLevel="0" collapsed="false">
      <c r="A558" s="0" t="n">
        <f aca="false">A557+1</f>
        <v>557</v>
      </c>
    </row>
    <row r="559" customFormat="false" ht="15" hidden="false" customHeight="false" outlineLevel="0" collapsed="false">
      <c r="A559" s="0" t="n">
        <f aca="false">A558+1</f>
        <v>558</v>
      </c>
    </row>
    <row r="560" customFormat="false" ht="15" hidden="false" customHeight="false" outlineLevel="0" collapsed="false">
      <c r="A560" s="0" t="n">
        <f aca="false">A559+1</f>
        <v>559</v>
      </c>
    </row>
    <row r="561" customFormat="false" ht="15" hidden="false" customHeight="false" outlineLevel="0" collapsed="false">
      <c r="A561" s="0" t="n">
        <f aca="false">A560+1</f>
        <v>560</v>
      </c>
    </row>
    <row r="562" customFormat="false" ht="15" hidden="false" customHeight="false" outlineLevel="0" collapsed="false">
      <c r="A562" s="0" t="n">
        <f aca="false">A561+1</f>
        <v>561</v>
      </c>
    </row>
    <row r="563" customFormat="false" ht="15" hidden="false" customHeight="false" outlineLevel="0" collapsed="false">
      <c r="A563" s="0" t="n">
        <f aca="false">A562+1</f>
        <v>562</v>
      </c>
    </row>
    <row r="564" customFormat="false" ht="15" hidden="false" customHeight="false" outlineLevel="0" collapsed="false">
      <c r="A564" s="0" t="n">
        <f aca="false">A563+1</f>
        <v>563</v>
      </c>
    </row>
    <row r="565" customFormat="false" ht="15" hidden="false" customHeight="false" outlineLevel="0" collapsed="false">
      <c r="A565" s="0" t="n">
        <f aca="false">A564+1</f>
        <v>564</v>
      </c>
    </row>
    <row r="566" customFormat="false" ht="15" hidden="false" customHeight="false" outlineLevel="0" collapsed="false">
      <c r="A566" s="0" t="n">
        <f aca="false">A565+1</f>
        <v>565</v>
      </c>
    </row>
    <row r="567" customFormat="false" ht="15" hidden="false" customHeight="false" outlineLevel="0" collapsed="false">
      <c r="A567" s="0" t="n">
        <f aca="false">A566+1</f>
        <v>566</v>
      </c>
    </row>
    <row r="568" customFormat="false" ht="15" hidden="false" customHeight="false" outlineLevel="0" collapsed="false">
      <c r="A568" s="0" t="n">
        <f aca="false">A567+1</f>
        <v>567</v>
      </c>
    </row>
    <row r="569" customFormat="false" ht="15" hidden="false" customHeight="false" outlineLevel="0" collapsed="false">
      <c r="A569" s="0" t="n">
        <f aca="false">A568+1</f>
        <v>568</v>
      </c>
    </row>
    <row r="570" customFormat="false" ht="15" hidden="false" customHeight="false" outlineLevel="0" collapsed="false">
      <c r="A570" s="0" t="n">
        <f aca="false">A569+1</f>
        <v>569</v>
      </c>
    </row>
    <row r="571" customFormat="false" ht="15" hidden="false" customHeight="false" outlineLevel="0" collapsed="false">
      <c r="A571" s="0" t="n">
        <f aca="false">A570+1</f>
        <v>570</v>
      </c>
    </row>
    <row r="572" customFormat="false" ht="15" hidden="false" customHeight="false" outlineLevel="0" collapsed="false">
      <c r="A572" s="0" t="n">
        <f aca="false">A571+1</f>
        <v>571</v>
      </c>
    </row>
    <row r="573" customFormat="false" ht="15" hidden="false" customHeight="false" outlineLevel="0" collapsed="false">
      <c r="A573" s="0" t="n">
        <f aca="false">A572+1</f>
        <v>572</v>
      </c>
    </row>
    <row r="574" customFormat="false" ht="15" hidden="false" customHeight="false" outlineLevel="0" collapsed="false">
      <c r="A574" s="0" t="n">
        <f aca="false">A573+1</f>
        <v>573</v>
      </c>
    </row>
    <row r="575" customFormat="false" ht="15" hidden="false" customHeight="false" outlineLevel="0" collapsed="false">
      <c r="A575" s="0" t="n">
        <f aca="false">A574+1</f>
        <v>574</v>
      </c>
    </row>
    <row r="576" customFormat="false" ht="15" hidden="false" customHeight="false" outlineLevel="0" collapsed="false">
      <c r="A576" s="0" t="n">
        <f aca="false">A575+1</f>
        <v>575</v>
      </c>
    </row>
    <row r="577" customFormat="false" ht="15" hidden="false" customHeight="false" outlineLevel="0" collapsed="false">
      <c r="A577" s="0" t="n">
        <f aca="false">A576+1</f>
        <v>576</v>
      </c>
    </row>
    <row r="578" customFormat="false" ht="15" hidden="false" customHeight="false" outlineLevel="0" collapsed="false">
      <c r="A578" s="0" t="n">
        <f aca="false">A577+1</f>
        <v>577</v>
      </c>
    </row>
    <row r="579" customFormat="false" ht="15" hidden="false" customHeight="false" outlineLevel="0" collapsed="false">
      <c r="A579" s="0" t="n">
        <f aca="false">A578+1</f>
        <v>578</v>
      </c>
    </row>
    <row r="580" customFormat="false" ht="15" hidden="false" customHeight="false" outlineLevel="0" collapsed="false">
      <c r="A580" s="0" t="n">
        <f aca="false">A579+1</f>
        <v>579</v>
      </c>
    </row>
    <row r="581" customFormat="false" ht="15" hidden="false" customHeight="false" outlineLevel="0" collapsed="false">
      <c r="A581" s="0" t="n">
        <f aca="false">A580+1</f>
        <v>580</v>
      </c>
    </row>
    <row r="582" customFormat="false" ht="15" hidden="false" customHeight="false" outlineLevel="0" collapsed="false">
      <c r="A582" s="0" t="n">
        <f aca="false">A581+1</f>
        <v>581</v>
      </c>
    </row>
    <row r="583" customFormat="false" ht="15" hidden="false" customHeight="false" outlineLevel="0" collapsed="false">
      <c r="A583" s="0" t="n">
        <f aca="false">A582+1</f>
        <v>582</v>
      </c>
    </row>
    <row r="584" customFormat="false" ht="15" hidden="false" customHeight="false" outlineLevel="0" collapsed="false">
      <c r="A584" s="0" t="n">
        <f aca="false">A583+1</f>
        <v>583</v>
      </c>
    </row>
    <row r="585" customFormat="false" ht="15" hidden="false" customHeight="false" outlineLevel="0" collapsed="false">
      <c r="A585" s="0" t="n">
        <f aca="false">A584+1</f>
        <v>584</v>
      </c>
    </row>
    <row r="586" customFormat="false" ht="15" hidden="false" customHeight="false" outlineLevel="0" collapsed="false">
      <c r="A586" s="0" t="n">
        <f aca="false">A585+1</f>
        <v>585</v>
      </c>
    </row>
    <row r="587" customFormat="false" ht="15" hidden="false" customHeight="false" outlineLevel="0" collapsed="false">
      <c r="A587" s="0" t="n">
        <f aca="false">A586+1</f>
        <v>586</v>
      </c>
    </row>
    <row r="588" customFormat="false" ht="15" hidden="false" customHeight="false" outlineLevel="0" collapsed="false">
      <c r="A588" s="0" t="n">
        <f aca="false">A587+1</f>
        <v>587</v>
      </c>
    </row>
    <row r="589" customFormat="false" ht="15" hidden="false" customHeight="false" outlineLevel="0" collapsed="false">
      <c r="A589" s="0" t="n">
        <f aca="false">A588+1</f>
        <v>588</v>
      </c>
    </row>
    <row r="590" customFormat="false" ht="15" hidden="false" customHeight="false" outlineLevel="0" collapsed="false">
      <c r="A590" s="0" t="n">
        <f aca="false">A589+1</f>
        <v>589</v>
      </c>
    </row>
    <row r="591" customFormat="false" ht="15" hidden="false" customHeight="false" outlineLevel="0" collapsed="false">
      <c r="A591" s="0" t="n">
        <f aca="false">A590+1</f>
        <v>590</v>
      </c>
    </row>
    <row r="592" customFormat="false" ht="15" hidden="false" customHeight="false" outlineLevel="0" collapsed="false">
      <c r="A592" s="0" t="n">
        <f aca="false">A591+1</f>
        <v>591</v>
      </c>
    </row>
    <row r="593" customFormat="false" ht="15" hidden="false" customHeight="false" outlineLevel="0" collapsed="false">
      <c r="A593" s="0" t="n">
        <f aca="false">A592+1</f>
        <v>592</v>
      </c>
    </row>
    <row r="594" customFormat="false" ht="15" hidden="false" customHeight="false" outlineLevel="0" collapsed="false">
      <c r="A594" s="0" t="n">
        <f aca="false">A593+1</f>
        <v>593</v>
      </c>
    </row>
    <row r="595" customFormat="false" ht="15" hidden="false" customHeight="false" outlineLevel="0" collapsed="false">
      <c r="A595" s="0" t="n">
        <f aca="false">A594+1</f>
        <v>594</v>
      </c>
    </row>
    <row r="596" customFormat="false" ht="15" hidden="false" customHeight="false" outlineLevel="0" collapsed="false">
      <c r="A596" s="0" t="n">
        <f aca="false">A595+1</f>
        <v>595</v>
      </c>
    </row>
    <row r="597" customFormat="false" ht="15" hidden="false" customHeight="false" outlineLevel="0" collapsed="false">
      <c r="A597" s="0" t="n">
        <f aca="false">A596+1</f>
        <v>596</v>
      </c>
    </row>
    <row r="598" customFormat="false" ht="15" hidden="false" customHeight="false" outlineLevel="0" collapsed="false">
      <c r="A598" s="0" t="n">
        <f aca="false">A597+1</f>
        <v>597</v>
      </c>
    </row>
    <row r="599" customFormat="false" ht="15" hidden="false" customHeight="false" outlineLevel="0" collapsed="false">
      <c r="A599" s="0" t="n">
        <f aca="false">A598+1</f>
        <v>598</v>
      </c>
    </row>
    <row r="600" customFormat="false" ht="15" hidden="false" customHeight="false" outlineLevel="0" collapsed="false">
      <c r="A600" s="0" t="n">
        <f aca="false">A599+1</f>
        <v>599</v>
      </c>
    </row>
    <row r="601" customFormat="false" ht="15" hidden="false" customHeight="false" outlineLevel="0" collapsed="false">
      <c r="A601" s="0" t="n">
        <f aca="false">A600+1</f>
        <v>600</v>
      </c>
    </row>
    <row r="602" customFormat="false" ht="15" hidden="false" customHeight="false" outlineLevel="0" collapsed="false">
      <c r="A602" s="0" t="n">
        <f aca="false">A601+1</f>
        <v>601</v>
      </c>
    </row>
    <row r="603" customFormat="false" ht="15" hidden="false" customHeight="false" outlineLevel="0" collapsed="false">
      <c r="A603" s="0" t="n">
        <f aca="false">A602+1</f>
        <v>602</v>
      </c>
    </row>
    <row r="604" customFormat="false" ht="15" hidden="false" customHeight="false" outlineLevel="0" collapsed="false">
      <c r="A604" s="0" t="n">
        <f aca="false">A603+1</f>
        <v>603</v>
      </c>
    </row>
    <row r="605" customFormat="false" ht="15" hidden="false" customHeight="false" outlineLevel="0" collapsed="false">
      <c r="A605" s="0" t="n">
        <f aca="false">A604+1</f>
        <v>604</v>
      </c>
    </row>
    <row r="606" customFormat="false" ht="15" hidden="false" customHeight="false" outlineLevel="0" collapsed="false">
      <c r="A606" s="0" t="n">
        <f aca="false">A605+1</f>
        <v>605</v>
      </c>
    </row>
    <row r="607" customFormat="false" ht="15" hidden="false" customHeight="false" outlineLevel="0" collapsed="false">
      <c r="A607" s="0" t="n">
        <f aca="false">A606+1</f>
        <v>606</v>
      </c>
    </row>
    <row r="608" customFormat="false" ht="15" hidden="false" customHeight="false" outlineLevel="0" collapsed="false">
      <c r="A608" s="0" t="n">
        <f aca="false">A607+1</f>
        <v>607</v>
      </c>
    </row>
    <row r="609" customFormat="false" ht="15" hidden="false" customHeight="false" outlineLevel="0" collapsed="false">
      <c r="A609" s="0" t="n">
        <f aca="false">A608+1</f>
        <v>608</v>
      </c>
    </row>
    <row r="610" customFormat="false" ht="15" hidden="false" customHeight="false" outlineLevel="0" collapsed="false">
      <c r="A610" s="0" t="n">
        <f aca="false">A609+1</f>
        <v>609</v>
      </c>
    </row>
    <row r="611" customFormat="false" ht="15" hidden="false" customHeight="false" outlineLevel="0" collapsed="false">
      <c r="A611" s="0" t="n">
        <f aca="false">A610+1</f>
        <v>610</v>
      </c>
    </row>
    <row r="612" customFormat="false" ht="15" hidden="false" customHeight="false" outlineLevel="0" collapsed="false">
      <c r="A612" s="0" t="n">
        <f aca="false">A611+1</f>
        <v>611</v>
      </c>
    </row>
    <row r="613" customFormat="false" ht="15" hidden="false" customHeight="false" outlineLevel="0" collapsed="false">
      <c r="A613" s="0" t="n">
        <f aca="false">A612+1</f>
        <v>612</v>
      </c>
    </row>
    <row r="614" customFormat="false" ht="15" hidden="false" customHeight="false" outlineLevel="0" collapsed="false">
      <c r="A614" s="0" t="n">
        <f aca="false">A613+1</f>
        <v>613</v>
      </c>
    </row>
    <row r="615" customFormat="false" ht="15" hidden="false" customHeight="false" outlineLevel="0" collapsed="false">
      <c r="A615" s="0" t="n">
        <f aca="false">A614+1</f>
        <v>614</v>
      </c>
    </row>
    <row r="616" customFormat="false" ht="15" hidden="false" customHeight="false" outlineLevel="0" collapsed="false">
      <c r="A616" s="0" t="n">
        <f aca="false">A615+1</f>
        <v>615</v>
      </c>
    </row>
    <row r="617" customFormat="false" ht="15" hidden="false" customHeight="false" outlineLevel="0" collapsed="false">
      <c r="A617" s="0" t="n">
        <f aca="false">A616+1</f>
        <v>616</v>
      </c>
    </row>
    <row r="618" customFormat="false" ht="15" hidden="false" customHeight="false" outlineLevel="0" collapsed="false">
      <c r="A618" s="0" t="n">
        <f aca="false">A617+1</f>
        <v>617</v>
      </c>
    </row>
    <row r="619" customFormat="false" ht="15" hidden="false" customHeight="false" outlineLevel="0" collapsed="false">
      <c r="A619" s="0" t="n">
        <f aca="false">A618+1</f>
        <v>618</v>
      </c>
    </row>
    <row r="620" customFormat="false" ht="15" hidden="false" customHeight="false" outlineLevel="0" collapsed="false">
      <c r="A620" s="0" t="n">
        <f aca="false">A619+1</f>
        <v>619</v>
      </c>
    </row>
    <row r="621" customFormat="false" ht="15" hidden="false" customHeight="false" outlineLevel="0" collapsed="false">
      <c r="A621" s="0" t="n">
        <f aca="false">A620+1</f>
        <v>620</v>
      </c>
    </row>
    <row r="622" customFormat="false" ht="15" hidden="false" customHeight="false" outlineLevel="0" collapsed="false">
      <c r="A622" s="0" t="n">
        <f aca="false">A621+1</f>
        <v>621</v>
      </c>
    </row>
    <row r="623" customFormat="false" ht="15" hidden="false" customHeight="false" outlineLevel="0" collapsed="false">
      <c r="A623" s="0" t="n">
        <f aca="false">A622+1</f>
        <v>622</v>
      </c>
    </row>
    <row r="624" customFormat="false" ht="15" hidden="false" customHeight="false" outlineLevel="0" collapsed="false">
      <c r="A624" s="0" t="n">
        <f aca="false">A623+1</f>
        <v>623</v>
      </c>
    </row>
    <row r="625" customFormat="false" ht="15" hidden="false" customHeight="false" outlineLevel="0" collapsed="false">
      <c r="A625" s="0" t="n">
        <f aca="false">A624+1</f>
        <v>624</v>
      </c>
    </row>
    <row r="626" customFormat="false" ht="15" hidden="false" customHeight="false" outlineLevel="0" collapsed="false">
      <c r="A626" s="0" t="n">
        <f aca="false">A625+1</f>
        <v>625</v>
      </c>
    </row>
    <row r="627" customFormat="false" ht="15" hidden="false" customHeight="false" outlineLevel="0" collapsed="false">
      <c r="A627" s="0" t="n">
        <f aca="false">A626+1</f>
        <v>626</v>
      </c>
    </row>
    <row r="628" customFormat="false" ht="15" hidden="false" customHeight="false" outlineLevel="0" collapsed="false">
      <c r="A628" s="0" t="n">
        <f aca="false">A627+1</f>
        <v>627</v>
      </c>
    </row>
    <row r="629" customFormat="false" ht="15" hidden="false" customHeight="false" outlineLevel="0" collapsed="false">
      <c r="A629" s="0" t="n">
        <f aca="false">A628+1</f>
        <v>628</v>
      </c>
    </row>
    <row r="630" customFormat="false" ht="15" hidden="false" customHeight="false" outlineLevel="0" collapsed="false">
      <c r="A630" s="0" t="n">
        <f aca="false">A629+1</f>
        <v>629</v>
      </c>
    </row>
    <row r="631" customFormat="false" ht="15" hidden="false" customHeight="false" outlineLevel="0" collapsed="false">
      <c r="A631" s="0" t="n">
        <f aca="false">A630+1</f>
        <v>630</v>
      </c>
    </row>
    <row r="632" customFormat="false" ht="15" hidden="false" customHeight="false" outlineLevel="0" collapsed="false">
      <c r="A632" s="0" t="n">
        <f aca="false">A631+1</f>
        <v>631</v>
      </c>
    </row>
    <row r="633" customFormat="false" ht="15" hidden="false" customHeight="false" outlineLevel="0" collapsed="false">
      <c r="A633" s="0" t="n">
        <f aca="false">A632+1</f>
        <v>632</v>
      </c>
    </row>
    <row r="634" customFormat="false" ht="15" hidden="false" customHeight="false" outlineLevel="0" collapsed="false">
      <c r="A634" s="0" t="n">
        <f aca="false">A633+1</f>
        <v>633</v>
      </c>
    </row>
    <row r="635" customFormat="false" ht="15" hidden="false" customHeight="false" outlineLevel="0" collapsed="false">
      <c r="A635" s="0" t="n">
        <f aca="false">A634+1</f>
        <v>634</v>
      </c>
    </row>
    <row r="636" customFormat="false" ht="15" hidden="false" customHeight="false" outlineLevel="0" collapsed="false">
      <c r="A636" s="0" t="n">
        <f aca="false">A635+1</f>
        <v>635</v>
      </c>
    </row>
    <row r="637" customFormat="false" ht="15" hidden="false" customHeight="false" outlineLevel="0" collapsed="false">
      <c r="A637" s="0" t="n">
        <f aca="false">A636+1</f>
        <v>636</v>
      </c>
    </row>
    <row r="638" customFormat="false" ht="15" hidden="false" customHeight="false" outlineLevel="0" collapsed="false">
      <c r="A638" s="0" t="n">
        <f aca="false">A637+1</f>
        <v>637</v>
      </c>
    </row>
    <row r="639" customFormat="false" ht="15" hidden="false" customHeight="false" outlineLevel="0" collapsed="false">
      <c r="A639" s="0" t="n">
        <f aca="false">A638+1</f>
        <v>638</v>
      </c>
    </row>
    <row r="640" customFormat="false" ht="15" hidden="false" customHeight="false" outlineLevel="0" collapsed="false">
      <c r="A640" s="0" t="n">
        <f aca="false">A639+1</f>
        <v>639</v>
      </c>
    </row>
    <row r="641" customFormat="false" ht="15" hidden="false" customHeight="false" outlineLevel="0" collapsed="false">
      <c r="A641" s="0" t="n">
        <f aca="false">A640+1</f>
        <v>640</v>
      </c>
    </row>
    <row r="642" customFormat="false" ht="15" hidden="false" customHeight="false" outlineLevel="0" collapsed="false">
      <c r="A642" s="0" t="n">
        <f aca="false">A641+1</f>
        <v>641</v>
      </c>
    </row>
    <row r="643" customFormat="false" ht="15" hidden="false" customHeight="false" outlineLevel="0" collapsed="false">
      <c r="A643" s="0" t="n">
        <f aca="false">A642+1</f>
        <v>642</v>
      </c>
    </row>
    <row r="644" customFormat="false" ht="15" hidden="false" customHeight="false" outlineLevel="0" collapsed="false">
      <c r="A644" s="0" t="n">
        <f aca="false">A643+1</f>
        <v>643</v>
      </c>
    </row>
    <row r="645" customFormat="false" ht="15" hidden="false" customHeight="false" outlineLevel="0" collapsed="false">
      <c r="A645" s="0" t="n">
        <f aca="false">A644+1</f>
        <v>644</v>
      </c>
    </row>
    <row r="646" customFormat="false" ht="15" hidden="false" customHeight="false" outlineLevel="0" collapsed="false">
      <c r="A646" s="0" t="n">
        <f aca="false">A645+1</f>
        <v>645</v>
      </c>
    </row>
    <row r="647" customFormat="false" ht="15" hidden="false" customHeight="false" outlineLevel="0" collapsed="false">
      <c r="A647" s="0" t="n">
        <f aca="false">A646+1</f>
        <v>646</v>
      </c>
    </row>
    <row r="648" customFormat="false" ht="15" hidden="false" customHeight="false" outlineLevel="0" collapsed="false">
      <c r="A648" s="0" t="n">
        <f aca="false">A647+1</f>
        <v>647</v>
      </c>
    </row>
    <row r="649" customFormat="false" ht="15" hidden="false" customHeight="false" outlineLevel="0" collapsed="false">
      <c r="A649" s="0" t="n">
        <f aca="false">A648+1</f>
        <v>648</v>
      </c>
    </row>
    <row r="650" customFormat="false" ht="15" hidden="false" customHeight="false" outlineLevel="0" collapsed="false">
      <c r="A650" s="0" t="n">
        <f aca="false">A649+1</f>
        <v>649</v>
      </c>
    </row>
    <row r="651" customFormat="false" ht="15" hidden="false" customHeight="false" outlineLevel="0" collapsed="false">
      <c r="A651" s="0" t="n">
        <f aca="false">A650+1</f>
        <v>650</v>
      </c>
    </row>
    <row r="652" customFormat="false" ht="15" hidden="false" customHeight="false" outlineLevel="0" collapsed="false">
      <c r="A652" s="0" t="n">
        <f aca="false">A651+1</f>
        <v>651</v>
      </c>
    </row>
    <row r="653" customFormat="false" ht="15" hidden="false" customHeight="false" outlineLevel="0" collapsed="false">
      <c r="A653" s="0" t="n">
        <f aca="false">A652+1</f>
        <v>652</v>
      </c>
    </row>
    <row r="654" customFormat="false" ht="15" hidden="false" customHeight="false" outlineLevel="0" collapsed="false">
      <c r="A654" s="0" t="n">
        <f aca="false">A653+1</f>
        <v>653</v>
      </c>
    </row>
    <row r="655" customFormat="false" ht="15" hidden="false" customHeight="false" outlineLevel="0" collapsed="false">
      <c r="A655" s="0" t="n">
        <f aca="false">A654+1</f>
        <v>654</v>
      </c>
    </row>
    <row r="656" customFormat="false" ht="15" hidden="false" customHeight="false" outlineLevel="0" collapsed="false">
      <c r="A656" s="0" t="n">
        <f aca="false">A655+1</f>
        <v>655</v>
      </c>
    </row>
    <row r="657" customFormat="false" ht="15" hidden="false" customHeight="false" outlineLevel="0" collapsed="false">
      <c r="A657" s="0" t="n">
        <f aca="false">A656+1</f>
        <v>656</v>
      </c>
    </row>
    <row r="658" customFormat="false" ht="15" hidden="false" customHeight="false" outlineLevel="0" collapsed="false">
      <c r="A658" s="0" t="n">
        <f aca="false">A657+1</f>
        <v>657</v>
      </c>
    </row>
    <row r="659" customFormat="false" ht="15" hidden="false" customHeight="false" outlineLevel="0" collapsed="false">
      <c r="A659" s="0" t="n">
        <f aca="false">A658+1</f>
        <v>658</v>
      </c>
    </row>
    <row r="660" customFormat="false" ht="15" hidden="false" customHeight="false" outlineLevel="0" collapsed="false">
      <c r="A660" s="0" t="n">
        <f aca="false">A659+1</f>
        <v>659</v>
      </c>
    </row>
    <row r="661" customFormat="false" ht="15" hidden="false" customHeight="false" outlineLevel="0" collapsed="false">
      <c r="A661" s="0" t="n">
        <f aca="false">A660+1</f>
        <v>660</v>
      </c>
    </row>
    <row r="662" customFormat="false" ht="15" hidden="false" customHeight="false" outlineLevel="0" collapsed="false">
      <c r="A662" s="0" t="n">
        <f aca="false">A661+1</f>
        <v>661</v>
      </c>
    </row>
    <row r="663" customFormat="false" ht="15" hidden="false" customHeight="false" outlineLevel="0" collapsed="false">
      <c r="A663" s="0" t="n">
        <f aca="false">A662+1</f>
        <v>662</v>
      </c>
    </row>
    <row r="664" customFormat="false" ht="15" hidden="false" customHeight="false" outlineLevel="0" collapsed="false">
      <c r="A664" s="0" t="n">
        <f aca="false">A663+1</f>
        <v>663</v>
      </c>
    </row>
    <row r="665" customFormat="false" ht="15" hidden="false" customHeight="false" outlineLevel="0" collapsed="false">
      <c r="A665" s="0" t="n">
        <f aca="false">A664+1</f>
        <v>664</v>
      </c>
    </row>
    <row r="666" customFormat="false" ht="15" hidden="false" customHeight="false" outlineLevel="0" collapsed="false">
      <c r="A666" s="0" t="n">
        <f aca="false">A665+1</f>
        <v>665</v>
      </c>
    </row>
    <row r="667" customFormat="false" ht="15" hidden="false" customHeight="false" outlineLevel="0" collapsed="false">
      <c r="A667" s="0" t="n">
        <f aca="false">A666+1</f>
        <v>666</v>
      </c>
    </row>
    <row r="668" customFormat="false" ht="15" hidden="false" customHeight="false" outlineLevel="0" collapsed="false">
      <c r="A668" s="0" t="n">
        <f aca="false">A667+1</f>
        <v>667</v>
      </c>
    </row>
    <row r="669" customFormat="false" ht="15" hidden="false" customHeight="false" outlineLevel="0" collapsed="false">
      <c r="A669" s="0" t="n">
        <f aca="false">A668+1</f>
        <v>668</v>
      </c>
    </row>
    <row r="670" customFormat="false" ht="15" hidden="false" customHeight="false" outlineLevel="0" collapsed="false">
      <c r="A670" s="0" t="n">
        <f aca="false">A669+1</f>
        <v>669</v>
      </c>
    </row>
    <row r="671" customFormat="false" ht="15" hidden="false" customHeight="false" outlineLevel="0" collapsed="false">
      <c r="A671" s="0" t="n">
        <f aca="false">A670+1</f>
        <v>670</v>
      </c>
    </row>
    <row r="672" customFormat="false" ht="15" hidden="false" customHeight="false" outlineLevel="0" collapsed="false">
      <c r="A672" s="0" t="n">
        <f aca="false">A671+1</f>
        <v>671</v>
      </c>
    </row>
    <row r="673" customFormat="false" ht="15" hidden="false" customHeight="false" outlineLevel="0" collapsed="false">
      <c r="A673" s="0" t="n">
        <f aca="false">A672+1</f>
        <v>672</v>
      </c>
    </row>
    <row r="674" customFormat="false" ht="15" hidden="false" customHeight="false" outlineLevel="0" collapsed="false">
      <c r="A674" s="0" t="n">
        <f aca="false">A673+1</f>
        <v>673</v>
      </c>
    </row>
    <row r="675" customFormat="false" ht="15" hidden="false" customHeight="false" outlineLevel="0" collapsed="false">
      <c r="A675" s="0" t="n">
        <f aca="false">A674+1</f>
        <v>674</v>
      </c>
    </row>
    <row r="676" customFormat="false" ht="15" hidden="false" customHeight="false" outlineLevel="0" collapsed="false">
      <c r="A676" s="0" t="n">
        <f aca="false">A675+1</f>
        <v>675</v>
      </c>
    </row>
    <row r="677" customFormat="false" ht="15" hidden="false" customHeight="false" outlineLevel="0" collapsed="false">
      <c r="A677" s="0" t="n">
        <f aca="false">A676+1</f>
        <v>676</v>
      </c>
    </row>
    <row r="678" customFormat="false" ht="15" hidden="false" customHeight="false" outlineLevel="0" collapsed="false">
      <c r="A678" s="0" t="n">
        <f aca="false">A677+1</f>
        <v>677</v>
      </c>
    </row>
    <row r="679" customFormat="false" ht="15" hidden="false" customHeight="false" outlineLevel="0" collapsed="false">
      <c r="A679" s="0" t="n">
        <f aca="false">A678+1</f>
        <v>678</v>
      </c>
    </row>
    <row r="680" customFormat="false" ht="15" hidden="false" customHeight="false" outlineLevel="0" collapsed="false">
      <c r="A680" s="0" t="n">
        <f aca="false">A679+1</f>
        <v>679</v>
      </c>
    </row>
    <row r="681" customFormat="false" ht="15" hidden="false" customHeight="false" outlineLevel="0" collapsed="false">
      <c r="A681" s="0" t="n">
        <f aca="false">A680+1</f>
        <v>680</v>
      </c>
    </row>
    <row r="682" customFormat="false" ht="15" hidden="false" customHeight="false" outlineLevel="0" collapsed="false">
      <c r="A682" s="0" t="n">
        <f aca="false">A681+1</f>
        <v>681</v>
      </c>
    </row>
    <row r="683" customFormat="false" ht="15" hidden="false" customHeight="false" outlineLevel="0" collapsed="false">
      <c r="A683" s="0" t="n">
        <f aca="false">A682+1</f>
        <v>682</v>
      </c>
    </row>
    <row r="684" customFormat="false" ht="15" hidden="false" customHeight="false" outlineLevel="0" collapsed="false">
      <c r="A684" s="0" t="n">
        <f aca="false">A683+1</f>
        <v>683</v>
      </c>
    </row>
    <row r="685" customFormat="false" ht="15" hidden="false" customHeight="false" outlineLevel="0" collapsed="false">
      <c r="A685" s="0" t="n">
        <f aca="false">A684+1</f>
        <v>684</v>
      </c>
    </row>
    <row r="686" customFormat="false" ht="15" hidden="false" customHeight="false" outlineLevel="0" collapsed="false">
      <c r="A686" s="0" t="n">
        <f aca="false">A685+1</f>
        <v>685</v>
      </c>
    </row>
    <row r="687" customFormat="false" ht="15" hidden="false" customHeight="false" outlineLevel="0" collapsed="false">
      <c r="A687" s="0" t="n">
        <f aca="false">A686+1</f>
        <v>686</v>
      </c>
    </row>
    <row r="688" customFormat="false" ht="15" hidden="false" customHeight="false" outlineLevel="0" collapsed="false">
      <c r="A688" s="0" t="n">
        <f aca="false">A687+1</f>
        <v>687</v>
      </c>
    </row>
    <row r="689" customFormat="false" ht="15" hidden="false" customHeight="false" outlineLevel="0" collapsed="false">
      <c r="A689" s="0" t="n">
        <f aca="false">A688+1</f>
        <v>688</v>
      </c>
    </row>
    <row r="690" customFormat="false" ht="15" hidden="false" customHeight="false" outlineLevel="0" collapsed="false">
      <c r="A690" s="0" t="n">
        <f aca="false">A689+1</f>
        <v>689</v>
      </c>
    </row>
    <row r="691" customFormat="false" ht="15" hidden="false" customHeight="false" outlineLevel="0" collapsed="false">
      <c r="A691" s="0" t="n">
        <f aca="false">A690+1</f>
        <v>690</v>
      </c>
    </row>
    <row r="692" customFormat="false" ht="15" hidden="false" customHeight="false" outlineLevel="0" collapsed="false">
      <c r="A692" s="0" t="n">
        <f aca="false">A691+1</f>
        <v>691</v>
      </c>
    </row>
    <row r="693" customFormat="false" ht="15" hidden="false" customHeight="false" outlineLevel="0" collapsed="false">
      <c r="A693" s="0" t="n">
        <f aca="false">A692+1</f>
        <v>692</v>
      </c>
    </row>
    <row r="694" customFormat="false" ht="15" hidden="false" customHeight="false" outlineLevel="0" collapsed="false">
      <c r="A694" s="0" t="n">
        <f aca="false">A693+1</f>
        <v>693</v>
      </c>
    </row>
    <row r="695" customFormat="false" ht="15" hidden="false" customHeight="false" outlineLevel="0" collapsed="false">
      <c r="A695" s="0" t="n">
        <f aca="false">A694+1</f>
        <v>694</v>
      </c>
    </row>
    <row r="696" customFormat="false" ht="15" hidden="false" customHeight="false" outlineLevel="0" collapsed="false">
      <c r="A696" s="0" t="n">
        <f aca="false">A695+1</f>
        <v>695</v>
      </c>
    </row>
    <row r="697" customFormat="false" ht="15" hidden="false" customHeight="false" outlineLevel="0" collapsed="false">
      <c r="A697" s="0" t="n">
        <f aca="false">A696+1</f>
        <v>696</v>
      </c>
    </row>
    <row r="698" customFormat="false" ht="15" hidden="false" customHeight="false" outlineLevel="0" collapsed="false">
      <c r="A698" s="0" t="n">
        <f aca="false">A697+1</f>
        <v>697</v>
      </c>
    </row>
    <row r="699" customFormat="false" ht="15" hidden="false" customHeight="false" outlineLevel="0" collapsed="false">
      <c r="A699" s="0" t="n">
        <f aca="false">A698+1</f>
        <v>698</v>
      </c>
    </row>
    <row r="700" customFormat="false" ht="15" hidden="false" customHeight="false" outlineLevel="0" collapsed="false">
      <c r="A700" s="0" t="n">
        <f aca="false">A699+1</f>
        <v>699</v>
      </c>
    </row>
    <row r="701" customFormat="false" ht="15" hidden="false" customHeight="false" outlineLevel="0" collapsed="false">
      <c r="A701" s="0" t="n">
        <f aca="false">A700+1</f>
        <v>700</v>
      </c>
    </row>
    <row r="702" customFormat="false" ht="15" hidden="false" customHeight="false" outlineLevel="0" collapsed="false">
      <c r="A702" s="0" t="n">
        <f aca="false">A701+1</f>
        <v>701</v>
      </c>
    </row>
    <row r="703" customFormat="false" ht="15" hidden="false" customHeight="false" outlineLevel="0" collapsed="false">
      <c r="A703" s="0" t="n">
        <f aca="false">A702+1</f>
        <v>702</v>
      </c>
    </row>
    <row r="704" customFormat="false" ht="15" hidden="false" customHeight="false" outlineLevel="0" collapsed="false">
      <c r="A704" s="0" t="n">
        <f aca="false">A703+1</f>
        <v>703</v>
      </c>
    </row>
    <row r="705" customFormat="false" ht="15" hidden="false" customHeight="false" outlineLevel="0" collapsed="false">
      <c r="A705" s="0" t="n">
        <f aca="false">A704+1</f>
        <v>704</v>
      </c>
    </row>
    <row r="706" customFormat="false" ht="15" hidden="false" customHeight="false" outlineLevel="0" collapsed="false">
      <c r="A706" s="0" t="n">
        <f aca="false">A705+1</f>
        <v>705</v>
      </c>
    </row>
    <row r="707" customFormat="false" ht="15" hidden="false" customHeight="false" outlineLevel="0" collapsed="false">
      <c r="A707" s="0" t="n">
        <f aca="false">A706+1</f>
        <v>706</v>
      </c>
    </row>
    <row r="708" customFormat="false" ht="15" hidden="false" customHeight="false" outlineLevel="0" collapsed="false">
      <c r="A708" s="0" t="n">
        <f aca="false">A707+1</f>
        <v>707</v>
      </c>
    </row>
    <row r="709" customFormat="false" ht="15" hidden="false" customHeight="false" outlineLevel="0" collapsed="false">
      <c r="A709" s="0" t="n">
        <f aca="false">A708+1</f>
        <v>708</v>
      </c>
    </row>
    <row r="710" customFormat="false" ht="15" hidden="false" customHeight="false" outlineLevel="0" collapsed="false">
      <c r="A710" s="0" t="n">
        <f aca="false">A709+1</f>
        <v>709</v>
      </c>
    </row>
    <row r="711" customFormat="false" ht="15" hidden="false" customHeight="false" outlineLevel="0" collapsed="false">
      <c r="A711" s="0" t="n">
        <f aca="false">A710+1</f>
        <v>710</v>
      </c>
    </row>
    <row r="712" customFormat="false" ht="15" hidden="false" customHeight="false" outlineLevel="0" collapsed="false">
      <c r="A712" s="0" t="n">
        <f aca="false">A711+1</f>
        <v>711</v>
      </c>
    </row>
    <row r="713" customFormat="false" ht="15" hidden="false" customHeight="false" outlineLevel="0" collapsed="false">
      <c r="A713" s="0" t="n">
        <f aca="false">A712+1</f>
        <v>712</v>
      </c>
    </row>
    <row r="714" customFormat="false" ht="15" hidden="false" customHeight="false" outlineLevel="0" collapsed="false">
      <c r="A714" s="0" t="n">
        <f aca="false">A713+1</f>
        <v>713</v>
      </c>
    </row>
    <row r="715" customFormat="false" ht="15" hidden="false" customHeight="false" outlineLevel="0" collapsed="false">
      <c r="A715" s="0" t="n">
        <f aca="false">A714+1</f>
        <v>714</v>
      </c>
    </row>
    <row r="716" customFormat="false" ht="15" hidden="false" customHeight="false" outlineLevel="0" collapsed="false">
      <c r="A716" s="0" t="n">
        <f aca="false">A715+1</f>
        <v>715</v>
      </c>
    </row>
    <row r="717" customFormat="false" ht="15" hidden="false" customHeight="false" outlineLevel="0" collapsed="false">
      <c r="A717" s="0" t="n">
        <f aca="false">A716+1</f>
        <v>716</v>
      </c>
    </row>
    <row r="718" customFormat="false" ht="15" hidden="false" customHeight="false" outlineLevel="0" collapsed="false">
      <c r="A718" s="0" t="n">
        <f aca="false">A717+1</f>
        <v>717</v>
      </c>
    </row>
    <row r="719" customFormat="false" ht="15" hidden="false" customHeight="false" outlineLevel="0" collapsed="false">
      <c r="A719" s="0" t="n">
        <f aca="false">A718+1</f>
        <v>718</v>
      </c>
    </row>
    <row r="720" customFormat="false" ht="15" hidden="false" customHeight="false" outlineLevel="0" collapsed="false">
      <c r="A720" s="0" t="n">
        <f aca="false">A719+1</f>
        <v>719</v>
      </c>
    </row>
    <row r="721" customFormat="false" ht="15" hidden="false" customHeight="false" outlineLevel="0" collapsed="false">
      <c r="A721" s="0" t="n">
        <f aca="false">A720+1</f>
        <v>720</v>
      </c>
    </row>
    <row r="722" customFormat="false" ht="15" hidden="false" customHeight="false" outlineLevel="0" collapsed="false">
      <c r="A722" s="0" t="n">
        <f aca="false">A721+1</f>
        <v>721</v>
      </c>
    </row>
    <row r="723" customFormat="false" ht="15" hidden="false" customHeight="false" outlineLevel="0" collapsed="false">
      <c r="A723" s="0" t="n">
        <f aca="false">A722+1</f>
        <v>722</v>
      </c>
    </row>
    <row r="724" customFormat="false" ht="15" hidden="false" customHeight="false" outlineLevel="0" collapsed="false">
      <c r="A724" s="0" t="n">
        <f aca="false">A723+1</f>
        <v>723</v>
      </c>
    </row>
    <row r="725" customFormat="false" ht="15" hidden="false" customHeight="false" outlineLevel="0" collapsed="false">
      <c r="A725" s="0" t="n">
        <f aca="false">A724+1</f>
        <v>724</v>
      </c>
    </row>
    <row r="726" customFormat="false" ht="15" hidden="false" customHeight="false" outlineLevel="0" collapsed="false">
      <c r="A726" s="0" t="n">
        <f aca="false">A725+1</f>
        <v>725</v>
      </c>
    </row>
    <row r="727" customFormat="false" ht="15" hidden="false" customHeight="false" outlineLevel="0" collapsed="false">
      <c r="A727" s="0" t="n">
        <f aca="false">A726+1</f>
        <v>726</v>
      </c>
    </row>
    <row r="728" customFormat="false" ht="15" hidden="false" customHeight="false" outlineLevel="0" collapsed="false">
      <c r="A728" s="0" t="n">
        <f aca="false">A727+1</f>
        <v>727</v>
      </c>
    </row>
    <row r="729" customFormat="false" ht="15" hidden="false" customHeight="false" outlineLevel="0" collapsed="false">
      <c r="A729" s="0" t="n">
        <f aca="false">A728+1</f>
        <v>728</v>
      </c>
    </row>
    <row r="730" customFormat="false" ht="15" hidden="false" customHeight="false" outlineLevel="0" collapsed="false">
      <c r="A730" s="0" t="n">
        <f aca="false">A729+1</f>
        <v>729</v>
      </c>
    </row>
    <row r="731" customFormat="false" ht="15" hidden="false" customHeight="false" outlineLevel="0" collapsed="false">
      <c r="A731" s="0" t="n">
        <f aca="false">A730+1</f>
        <v>730</v>
      </c>
    </row>
    <row r="732" customFormat="false" ht="15" hidden="false" customHeight="false" outlineLevel="0" collapsed="false">
      <c r="A732" s="0" t="n">
        <f aca="false">A731+1</f>
        <v>731</v>
      </c>
    </row>
    <row r="733" customFormat="false" ht="15" hidden="false" customHeight="false" outlineLevel="0" collapsed="false">
      <c r="A733" s="0" t="n">
        <f aca="false">A732+1</f>
        <v>732</v>
      </c>
    </row>
    <row r="734" customFormat="false" ht="15" hidden="false" customHeight="false" outlineLevel="0" collapsed="false">
      <c r="A734" s="0" t="n">
        <f aca="false">A733+1</f>
        <v>733</v>
      </c>
    </row>
    <row r="735" customFormat="false" ht="15" hidden="false" customHeight="false" outlineLevel="0" collapsed="false">
      <c r="A735" s="0" t="n">
        <f aca="false">A734+1</f>
        <v>734</v>
      </c>
    </row>
    <row r="736" customFormat="false" ht="15" hidden="false" customHeight="false" outlineLevel="0" collapsed="false">
      <c r="A736" s="0" t="n">
        <f aca="false">A735+1</f>
        <v>735</v>
      </c>
    </row>
    <row r="737" customFormat="false" ht="15" hidden="false" customHeight="false" outlineLevel="0" collapsed="false">
      <c r="A737" s="0" t="n">
        <f aca="false">A736+1</f>
        <v>736</v>
      </c>
    </row>
    <row r="738" customFormat="false" ht="15" hidden="false" customHeight="false" outlineLevel="0" collapsed="false">
      <c r="A738" s="0" t="n">
        <f aca="false">A737+1</f>
        <v>737</v>
      </c>
    </row>
    <row r="739" customFormat="false" ht="15" hidden="false" customHeight="false" outlineLevel="0" collapsed="false">
      <c r="A739" s="0" t="n">
        <f aca="false">A738+1</f>
        <v>738</v>
      </c>
    </row>
    <row r="740" customFormat="false" ht="15" hidden="false" customHeight="false" outlineLevel="0" collapsed="false">
      <c r="A740" s="0" t="n">
        <f aca="false">A739+1</f>
        <v>739</v>
      </c>
    </row>
    <row r="741" customFormat="false" ht="15" hidden="false" customHeight="false" outlineLevel="0" collapsed="false">
      <c r="A741" s="0" t="n">
        <f aca="false">A740+1</f>
        <v>740</v>
      </c>
    </row>
    <row r="742" customFormat="false" ht="15" hidden="false" customHeight="false" outlineLevel="0" collapsed="false">
      <c r="A742" s="0" t="n">
        <f aca="false">A741+1</f>
        <v>741</v>
      </c>
    </row>
    <row r="743" customFormat="false" ht="15" hidden="false" customHeight="false" outlineLevel="0" collapsed="false">
      <c r="A743" s="0" t="n">
        <f aca="false">A742+1</f>
        <v>742</v>
      </c>
    </row>
    <row r="744" customFormat="false" ht="15" hidden="false" customHeight="false" outlineLevel="0" collapsed="false">
      <c r="A744" s="0" t="n">
        <f aca="false">A743+1</f>
        <v>743</v>
      </c>
    </row>
    <row r="745" customFormat="false" ht="15" hidden="false" customHeight="false" outlineLevel="0" collapsed="false">
      <c r="A745" s="0" t="n">
        <f aca="false">A744+1</f>
        <v>744</v>
      </c>
    </row>
    <row r="746" customFormat="false" ht="15" hidden="false" customHeight="false" outlineLevel="0" collapsed="false">
      <c r="A746" s="0" t="n">
        <f aca="false">A745+1</f>
        <v>745</v>
      </c>
    </row>
    <row r="747" customFormat="false" ht="15" hidden="false" customHeight="false" outlineLevel="0" collapsed="false">
      <c r="A747" s="0" t="n">
        <f aca="false">A746+1</f>
        <v>746</v>
      </c>
    </row>
    <row r="748" customFormat="false" ht="15" hidden="false" customHeight="false" outlineLevel="0" collapsed="false">
      <c r="A748" s="0" t="n">
        <f aca="false">A747+1</f>
        <v>747</v>
      </c>
    </row>
    <row r="749" customFormat="false" ht="15" hidden="false" customHeight="false" outlineLevel="0" collapsed="false">
      <c r="A749" s="0" t="n">
        <f aca="false">A748+1</f>
        <v>748</v>
      </c>
    </row>
    <row r="750" customFormat="false" ht="15" hidden="false" customHeight="false" outlineLevel="0" collapsed="false">
      <c r="A750" s="0" t="n">
        <f aca="false">A749+1</f>
        <v>749</v>
      </c>
    </row>
    <row r="751" customFormat="false" ht="15" hidden="false" customHeight="false" outlineLevel="0" collapsed="false">
      <c r="A751" s="0" t="n">
        <f aca="false">A750+1</f>
        <v>750</v>
      </c>
    </row>
    <row r="752" customFormat="false" ht="15" hidden="false" customHeight="false" outlineLevel="0" collapsed="false">
      <c r="A752" s="0" t="n">
        <f aca="false">A751+1</f>
        <v>751</v>
      </c>
    </row>
    <row r="753" customFormat="false" ht="15" hidden="false" customHeight="false" outlineLevel="0" collapsed="false">
      <c r="A753" s="0" t="n">
        <f aca="false">A752+1</f>
        <v>752</v>
      </c>
    </row>
    <row r="754" customFormat="false" ht="15" hidden="false" customHeight="false" outlineLevel="0" collapsed="false">
      <c r="A754" s="0" t="n">
        <f aca="false">A753+1</f>
        <v>753</v>
      </c>
    </row>
    <row r="755" customFormat="false" ht="15" hidden="false" customHeight="false" outlineLevel="0" collapsed="false">
      <c r="A755" s="0" t="n">
        <f aca="false">A754+1</f>
        <v>754</v>
      </c>
    </row>
    <row r="756" customFormat="false" ht="15" hidden="false" customHeight="false" outlineLevel="0" collapsed="false">
      <c r="A756" s="0" t="n">
        <f aca="false">A755+1</f>
        <v>755</v>
      </c>
    </row>
    <row r="757" customFormat="false" ht="15" hidden="false" customHeight="false" outlineLevel="0" collapsed="false">
      <c r="A757" s="0" t="n">
        <f aca="false">A756+1</f>
        <v>756</v>
      </c>
    </row>
    <row r="758" customFormat="false" ht="15" hidden="false" customHeight="false" outlineLevel="0" collapsed="false">
      <c r="A758" s="0" t="n">
        <f aca="false">A757+1</f>
        <v>757</v>
      </c>
    </row>
    <row r="759" customFormat="false" ht="15" hidden="false" customHeight="false" outlineLevel="0" collapsed="false">
      <c r="A759" s="0" t="n">
        <f aca="false">A758+1</f>
        <v>758</v>
      </c>
    </row>
    <row r="760" customFormat="false" ht="15" hidden="false" customHeight="false" outlineLevel="0" collapsed="false">
      <c r="A760" s="0" t="n">
        <f aca="false">A759+1</f>
        <v>759</v>
      </c>
    </row>
    <row r="761" customFormat="false" ht="15" hidden="false" customHeight="false" outlineLevel="0" collapsed="false">
      <c r="A761" s="0" t="n">
        <f aca="false">A760+1</f>
        <v>760</v>
      </c>
    </row>
    <row r="762" customFormat="false" ht="15" hidden="false" customHeight="false" outlineLevel="0" collapsed="false">
      <c r="A762" s="0" t="n">
        <f aca="false">A761+1</f>
        <v>761</v>
      </c>
    </row>
    <row r="763" customFormat="false" ht="15" hidden="false" customHeight="false" outlineLevel="0" collapsed="false">
      <c r="A763" s="0" t="n">
        <f aca="false">A762+1</f>
        <v>762</v>
      </c>
    </row>
    <row r="764" customFormat="false" ht="15" hidden="false" customHeight="false" outlineLevel="0" collapsed="false">
      <c r="A764" s="0" t="n">
        <f aca="false">A763+1</f>
        <v>763</v>
      </c>
    </row>
    <row r="765" customFormat="false" ht="15" hidden="false" customHeight="false" outlineLevel="0" collapsed="false">
      <c r="A765" s="0" t="n">
        <f aca="false">A764+1</f>
        <v>764</v>
      </c>
    </row>
    <row r="766" customFormat="false" ht="15" hidden="false" customHeight="false" outlineLevel="0" collapsed="false">
      <c r="A766" s="0" t="n">
        <f aca="false">A765+1</f>
        <v>765</v>
      </c>
    </row>
    <row r="767" customFormat="false" ht="15" hidden="false" customHeight="false" outlineLevel="0" collapsed="false">
      <c r="A767" s="0" t="n">
        <f aca="false">A766+1</f>
        <v>766</v>
      </c>
    </row>
    <row r="768" customFormat="false" ht="15" hidden="false" customHeight="false" outlineLevel="0" collapsed="false">
      <c r="A768" s="0" t="n">
        <f aca="false">A767+1</f>
        <v>767</v>
      </c>
    </row>
    <row r="769" customFormat="false" ht="15" hidden="false" customHeight="false" outlineLevel="0" collapsed="false">
      <c r="A769" s="0" t="n">
        <f aca="false">A768+1</f>
        <v>768</v>
      </c>
    </row>
    <row r="770" customFormat="false" ht="15" hidden="false" customHeight="false" outlineLevel="0" collapsed="false">
      <c r="A770" s="0" t="n">
        <f aca="false">A769+1</f>
        <v>769</v>
      </c>
    </row>
    <row r="771" customFormat="false" ht="15" hidden="false" customHeight="false" outlineLevel="0" collapsed="false">
      <c r="A771" s="0" t="n">
        <f aca="false">A770+1</f>
        <v>770</v>
      </c>
    </row>
    <row r="772" customFormat="false" ht="15" hidden="false" customHeight="false" outlineLevel="0" collapsed="false">
      <c r="A772" s="0" t="n">
        <f aca="false">A771+1</f>
        <v>771</v>
      </c>
    </row>
    <row r="773" customFormat="false" ht="15" hidden="false" customHeight="false" outlineLevel="0" collapsed="false">
      <c r="A773" s="0" t="n">
        <f aca="false">A772+1</f>
        <v>772</v>
      </c>
    </row>
    <row r="774" customFormat="false" ht="15" hidden="false" customHeight="false" outlineLevel="0" collapsed="false">
      <c r="A774" s="0" t="n">
        <f aca="false">A773+1</f>
        <v>773</v>
      </c>
    </row>
    <row r="775" customFormat="false" ht="15" hidden="false" customHeight="false" outlineLevel="0" collapsed="false">
      <c r="A775" s="0" t="n">
        <f aca="false">A774+1</f>
        <v>774</v>
      </c>
    </row>
    <row r="776" customFormat="false" ht="15" hidden="false" customHeight="false" outlineLevel="0" collapsed="false">
      <c r="A776" s="0" t="n">
        <f aca="false">A775+1</f>
        <v>775</v>
      </c>
    </row>
    <row r="777" customFormat="false" ht="15" hidden="false" customHeight="false" outlineLevel="0" collapsed="false">
      <c r="A777" s="0" t="n">
        <f aca="false">A776+1</f>
        <v>776</v>
      </c>
    </row>
    <row r="778" customFormat="false" ht="15" hidden="false" customHeight="false" outlineLevel="0" collapsed="false">
      <c r="A778" s="0" t="n">
        <f aca="false">A777+1</f>
        <v>777</v>
      </c>
    </row>
    <row r="779" customFormat="false" ht="15" hidden="false" customHeight="false" outlineLevel="0" collapsed="false">
      <c r="A779" s="0" t="n">
        <f aca="false">A778+1</f>
        <v>778</v>
      </c>
    </row>
    <row r="780" customFormat="false" ht="15" hidden="false" customHeight="false" outlineLevel="0" collapsed="false">
      <c r="A780" s="0" t="n">
        <f aca="false">A779+1</f>
        <v>779</v>
      </c>
    </row>
    <row r="781" customFormat="false" ht="15" hidden="false" customHeight="false" outlineLevel="0" collapsed="false">
      <c r="A781" s="0" t="n">
        <f aca="false">A780+1</f>
        <v>780</v>
      </c>
    </row>
    <row r="782" customFormat="false" ht="15" hidden="false" customHeight="false" outlineLevel="0" collapsed="false">
      <c r="A782" s="0" t="n">
        <f aca="false">A781+1</f>
        <v>781</v>
      </c>
    </row>
    <row r="783" customFormat="false" ht="15" hidden="false" customHeight="false" outlineLevel="0" collapsed="false">
      <c r="A783" s="0" t="n">
        <f aca="false">A782+1</f>
        <v>782</v>
      </c>
    </row>
    <row r="784" customFormat="false" ht="15" hidden="false" customHeight="false" outlineLevel="0" collapsed="false">
      <c r="A784" s="0" t="n">
        <f aca="false">A783+1</f>
        <v>783</v>
      </c>
    </row>
    <row r="785" customFormat="false" ht="15" hidden="false" customHeight="false" outlineLevel="0" collapsed="false">
      <c r="A785" s="0" t="n">
        <f aca="false">A784+1</f>
        <v>784</v>
      </c>
    </row>
    <row r="786" customFormat="false" ht="15" hidden="false" customHeight="false" outlineLevel="0" collapsed="false">
      <c r="A786" s="0" t="n">
        <f aca="false">A785+1</f>
        <v>785</v>
      </c>
    </row>
    <row r="787" customFormat="false" ht="15" hidden="false" customHeight="false" outlineLevel="0" collapsed="false">
      <c r="A787" s="0" t="n">
        <f aca="false">A786+1</f>
        <v>786</v>
      </c>
    </row>
    <row r="788" customFormat="false" ht="15" hidden="false" customHeight="false" outlineLevel="0" collapsed="false">
      <c r="A788" s="0" t="n">
        <f aca="false">A787+1</f>
        <v>787</v>
      </c>
    </row>
    <row r="789" customFormat="false" ht="15" hidden="false" customHeight="false" outlineLevel="0" collapsed="false">
      <c r="A789" s="0" t="n">
        <f aca="false">A788+1</f>
        <v>788</v>
      </c>
    </row>
    <row r="790" customFormat="false" ht="15" hidden="false" customHeight="false" outlineLevel="0" collapsed="false">
      <c r="A790" s="0" t="n">
        <f aca="false">A789+1</f>
        <v>789</v>
      </c>
    </row>
    <row r="791" customFormat="false" ht="15" hidden="false" customHeight="false" outlineLevel="0" collapsed="false">
      <c r="A791" s="0" t="n">
        <f aca="false">A790+1</f>
        <v>790</v>
      </c>
    </row>
    <row r="792" customFormat="false" ht="15" hidden="false" customHeight="false" outlineLevel="0" collapsed="false">
      <c r="A792" s="0" t="n">
        <f aca="false">A791+1</f>
        <v>791</v>
      </c>
    </row>
    <row r="793" customFormat="false" ht="15" hidden="false" customHeight="false" outlineLevel="0" collapsed="false">
      <c r="A793" s="0" t="n">
        <f aca="false">A792+1</f>
        <v>792</v>
      </c>
    </row>
    <row r="794" customFormat="false" ht="15" hidden="false" customHeight="false" outlineLevel="0" collapsed="false">
      <c r="A794" s="0" t="n">
        <f aca="false">A793+1</f>
        <v>793</v>
      </c>
    </row>
    <row r="795" customFormat="false" ht="15" hidden="false" customHeight="false" outlineLevel="0" collapsed="false">
      <c r="A795" s="0" t="n">
        <f aca="false">A794+1</f>
        <v>794</v>
      </c>
    </row>
    <row r="796" customFormat="false" ht="15" hidden="false" customHeight="false" outlineLevel="0" collapsed="false">
      <c r="A796" s="0" t="n">
        <f aca="false">A795+1</f>
        <v>795</v>
      </c>
    </row>
    <row r="797" customFormat="false" ht="15" hidden="false" customHeight="false" outlineLevel="0" collapsed="false">
      <c r="A797" s="0" t="n">
        <f aca="false">A796+1</f>
        <v>796</v>
      </c>
    </row>
    <row r="798" customFormat="false" ht="15" hidden="false" customHeight="false" outlineLevel="0" collapsed="false">
      <c r="A798" s="0" t="n">
        <f aca="false">A797+1</f>
        <v>797</v>
      </c>
    </row>
    <row r="799" customFormat="false" ht="15" hidden="false" customHeight="false" outlineLevel="0" collapsed="false">
      <c r="A799" s="0" t="n">
        <f aca="false">A798+1</f>
        <v>798</v>
      </c>
    </row>
    <row r="800" customFormat="false" ht="15" hidden="false" customHeight="false" outlineLevel="0" collapsed="false">
      <c r="A800" s="0" t="n">
        <f aca="false">A799+1</f>
        <v>799</v>
      </c>
    </row>
    <row r="801" customFormat="false" ht="15" hidden="false" customHeight="false" outlineLevel="0" collapsed="false">
      <c r="A801" s="0" t="n">
        <f aca="false">A800+1</f>
        <v>800</v>
      </c>
    </row>
    <row r="802" customFormat="false" ht="15" hidden="false" customHeight="false" outlineLevel="0" collapsed="false">
      <c r="A802" s="0" t="n">
        <f aca="false">A801+1</f>
        <v>801</v>
      </c>
    </row>
    <row r="803" customFormat="false" ht="15" hidden="false" customHeight="false" outlineLevel="0" collapsed="false">
      <c r="A803" s="0" t="n">
        <f aca="false">A802+1</f>
        <v>802</v>
      </c>
    </row>
    <row r="804" customFormat="false" ht="15" hidden="false" customHeight="false" outlineLevel="0" collapsed="false">
      <c r="A804" s="0" t="n">
        <f aca="false">A803+1</f>
        <v>803</v>
      </c>
    </row>
    <row r="805" customFormat="false" ht="15" hidden="false" customHeight="false" outlineLevel="0" collapsed="false">
      <c r="A805" s="0" t="n">
        <f aca="false">A804+1</f>
        <v>804</v>
      </c>
    </row>
    <row r="806" customFormat="false" ht="15" hidden="false" customHeight="false" outlineLevel="0" collapsed="false">
      <c r="A806" s="0" t="n">
        <f aca="false">A805+1</f>
        <v>805</v>
      </c>
    </row>
    <row r="807" customFormat="false" ht="15" hidden="false" customHeight="false" outlineLevel="0" collapsed="false">
      <c r="A807" s="0" t="n">
        <f aca="false">A806+1</f>
        <v>806</v>
      </c>
    </row>
    <row r="808" customFormat="false" ht="15" hidden="false" customHeight="false" outlineLevel="0" collapsed="false">
      <c r="A808" s="0" t="n">
        <f aca="false">A807+1</f>
        <v>807</v>
      </c>
    </row>
    <row r="809" customFormat="false" ht="15" hidden="false" customHeight="false" outlineLevel="0" collapsed="false">
      <c r="A809" s="0" t="n">
        <f aca="false">A808+1</f>
        <v>808</v>
      </c>
    </row>
    <row r="810" customFormat="false" ht="15" hidden="false" customHeight="false" outlineLevel="0" collapsed="false">
      <c r="A810" s="0" t="n">
        <f aca="false">A809+1</f>
        <v>809</v>
      </c>
    </row>
    <row r="811" customFormat="false" ht="15" hidden="false" customHeight="false" outlineLevel="0" collapsed="false">
      <c r="A811" s="0" t="n">
        <f aca="false">A810+1</f>
        <v>810</v>
      </c>
    </row>
    <row r="812" customFormat="false" ht="15" hidden="false" customHeight="false" outlineLevel="0" collapsed="false">
      <c r="A812" s="0" t="n">
        <f aca="false">A811+1</f>
        <v>811</v>
      </c>
    </row>
    <row r="813" customFormat="false" ht="15" hidden="false" customHeight="false" outlineLevel="0" collapsed="false">
      <c r="A813" s="0" t="n">
        <f aca="false">A812+1</f>
        <v>812</v>
      </c>
    </row>
    <row r="814" customFormat="false" ht="15" hidden="false" customHeight="false" outlineLevel="0" collapsed="false">
      <c r="A814" s="0" t="n">
        <f aca="false">A813+1</f>
        <v>813</v>
      </c>
    </row>
    <row r="815" customFormat="false" ht="15" hidden="false" customHeight="false" outlineLevel="0" collapsed="false">
      <c r="A815" s="0" t="n">
        <f aca="false">A814+1</f>
        <v>814</v>
      </c>
    </row>
    <row r="816" customFormat="false" ht="15" hidden="false" customHeight="false" outlineLevel="0" collapsed="false">
      <c r="A816" s="0" t="n">
        <f aca="false">A815+1</f>
        <v>815</v>
      </c>
    </row>
    <row r="817" customFormat="false" ht="15" hidden="false" customHeight="false" outlineLevel="0" collapsed="false">
      <c r="A817" s="0" t="n">
        <f aca="false">A816+1</f>
        <v>816</v>
      </c>
    </row>
    <row r="818" customFormat="false" ht="15" hidden="false" customHeight="false" outlineLevel="0" collapsed="false">
      <c r="A818" s="0" t="n">
        <f aca="false">A817+1</f>
        <v>817</v>
      </c>
    </row>
    <row r="819" customFormat="false" ht="15" hidden="false" customHeight="false" outlineLevel="0" collapsed="false">
      <c r="A819" s="0" t="n">
        <f aca="false">A818+1</f>
        <v>818</v>
      </c>
    </row>
    <row r="820" customFormat="false" ht="15" hidden="false" customHeight="false" outlineLevel="0" collapsed="false">
      <c r="A820" s="0" t="n">
        <f aca="false">A819+1</f>
        <v>819</v>
      </c>
    </row>
    <row r="821" customFormat="false" ht="15" hidden="false" customHeight="false" outlineLevel="0" collapsed="false">
      <c r="A821" s="0" t="n">
        <f aca="false">A820+1</f>
        <v>820</v>
      </c>
    </row>
    <row r="822" customFormat="false" ht="15" hidden="false" customHeight="false" outlineLevel="0" collapsed="false">
      <c r="A822" s="0" t="n">
        <f aca="false">A821+1</f>
        <v>821</v>
      </c>
    </row>
    <row r="823" customFormat="false" ht="15" hidden="false" customHeight="false" outlineLevel="0" collapsed="false">
      <c r="A823" s="0" t="n">
        <f aca="false">A822+1</f>
        <v>822</v>
      </c>
    </row>
    <row r="824" customFormat="false" ht="15" hidden="false" customHeight="false" outlineLevel="0" collapsed="false">
      <c r="A824" s="0" t="n">
        <f aca="false">A823+1</f>
        <v>823</v>
      </c>
    </row>
    <row r="825" customFormat="false" ht="15" hidden="false" customHeight="false" outlineLevel="0" collapsed="false">
      <c r="A825" s="0" t="n">
        <f aca="false">A824+1</f>
        <v>824</v>
      </c>
    </row>
    <row r="826" customFormat="false" ht="15" hidden="false" customHeight="false" outlineLevel="0" collapsed="false">
      <c r="A826" s="0" t="n">
        <f aca="false">A825+1</f>
        <v>825</v>
      </c>
    </row>
    <row r="827" customFormat="false" ht="15" hidden="false" customHeight="false" outlineLevel="0" collapsed="false">
      <c r="A827" s="0" t="n">
        <f aca="false">A826+1</f>
        <v>826</v>
      </c>
    </row>
    <row r="828" customFormat="false" ht="15" hidden="false" customHeight="false" outlineLevel="0" collapsed="false">
      <c r="A828" s="0" t="n">
        <f aca="false">A827+1</f>
        <v>827</v>
      </c>
    </row>
    <row r="829" customFormat="false" ht="15" hidden="false" customHeight="false" outlineLevel="0" collapsed="false">
      <c r="A829" s="0" t="n">
        <f aca="false">A828+1</f>
        <v>828</v>
      </c>
    </row>
    <row r="830" customFormat="false" ht="15" hidden="false" customHeight="false" outlineLevel="0" collapsed="false">
      <c r="A830" s="0" t="n">
        <f aca="false">A829+1</f>
        <v>829</v>
      </c>
    </row>
    <row r="831" customFormat="false" ht="15" hidden="false" customHeight="false" outlineLevel="0" collapsed="false">
      <c r="A831" s="0" t="n">
        <f aca="false">A830+1</f>
        <v>830</v>
      </c>
    </row>
    <row r="832" customFormat="false" ht="15" hidden="false" customHeight="false" outlineLevel="0" collapsed="false">
      <c r="A832" s="0" t="n">
        <f aca="false">A831+1</f>
        <v>831</v>
      </c>
    </row>
    <row r="833" customFormat="false" ht="15" hidden="false" customHeight="false" outlineLevel="0" collapsed="false">
      <c r="A833" s="0" t="n">
        <f aca="false">A832+1</f>
        <v>832</v>
      </c>
    </row>
    <row r="834" customFormat="false" ht="15" hidden="false" customHeight="false" outlineLevel="0" collapsed="false">
      <c r="A834" s="0" t="n">
        <f aca="false">A833+1</f>
        <v>833</v>
      </c>
    </row>
    <row r="835" customFormat="false" ht="15" hidden="false" customHeight="false" outlineLevel="0" collapsed="false">
      <c r="A835" s="0" t="n">
        <f aca="false">A834+1</f>
        <v>834</v>
      </c>
    </row>
    <row r="836" customFormat="false" ht="15" hidden="false" customHeight="false" outlineLevel="0" collapsed="false">
      <c r="A836" s="0" t="n">
        <f aca="false">A835+1</f>
        <v>835</v>
      </c>
    </row>
    <row r="837" customFormat="false" ht="15" hidden="false" customHeight="false" outlineLevel="0" collapsed="false">
      <c r="A837" s="0" t="n">
        <f aca="false">A836+1</f>
        <v>836</v>
      </c>
    </row>
    <row r="838" customFormat="false" ht="15" hidden="false" customHeight="false" outlineLevel="0" collapsed="false">
      <c r="A838" s="0" t="n">
        <f aca="false">A837+1</f>
        <v>837</v>
      </c>
    </row>
    <row r="839" customFormat="false" ht="15" hidden="false" customHeight="false" outlineLevel="0" collapsed="false">
      <c r="A839" s="0" t="n">
        <f aca="false">A838+1</f>
        <v>838</v>
      </c>
    </row>
    <row r="840" customFormat="false" ht="15" hidden="false" customHeight="false" outlineLevel="0" collapsed="false">
      <c r="A840" s="0" t="n">
        <f aca="false">A839+1</f>
        <v>839</v>
      </c>
    </row>
    <row r="841" customFormat="false" ht="15" hidden="false" customHeight="false" outlineLevel="0" collapsed="false">
      <c r="A841" s="0" t="n">
        <f aca="false">A840+1</f>
        <v>840</v>
      </c>
    </row>
    <row r="842" customFormat="false" ht="15" hidden="false" customHeight="false" outlineLevel="0" collapsed="false">
      <c r="A842" s="0" t="n">
        <f aca="false">A841+1</f>
        <v>841</v>
      </c>
    </row>
    <row r="843" customFormat="false" ht="15" hidden="false" customHeight="false" outlineLevel="0" collapsed="false">
      <c r="A843" s="0" t="n">
        <f aca="false">A842+1</f>
        <v>842</v>
      </c>
    </row>
    <row r="844" customFormat="false" ht="15" hidden="false" customHeight="false" outlineLevel="0" collapsed="false">
      <c r="A844" s="0" t="n">
        <f aca="false">A843+1</f>
        <v>843</v>
      </c>
    </row>
    <row r="845" customFormat="false" ht="15" hidden="false" customHeight="false" outlineLevel="0" collapsed="false">
      <c r="A845" s="0" t="n">
        <f aca="false">A844+1</f>
        <v>844</v>
      </c>
    </row>
    <row r="846" customFormat="false" ht="15" hidden="false" customHeight="false" outlineLevel="0" collapsed="false">
      <c r="A846" s="0" t="n">
        <f aca="false">A845+1</f>
        <v>845</v>
      </c>
    </row>
    <row r="847" customFormat="false" ht="15" hidden="false" customHeight="false" outlineLevel="0" collapsed="false">
      <c r="A847" s="0" t="n">
        <f aca="false">A846+1</f>
        <v>846</v>
      </c>
    </row>
    <row r="848" customFormat="false" ht="15" hidden="false" customHeight="false" outlineLevel="0" collapsed="false">
      <c r="A848" s="0" t="n">
        <f aca="false">A847+1</f>
        <v>847</v>
      </c>
    </row>
    <row r="849" customFormat="false" ht="15" hidden="false" customHeight="false" outlineLevel="0" collapsed="false">
      <c r="A849" s="0" t="n">
        <f aca="false">A848+1</f>
        <v>848</v>
      </c>
    </row>
    <row r="850" customFormat="false" ht="15" hidden="false" customHeight="false" outlineLevel="0" collapsed="false">
      <c r="A850" s="0" t="n">
        <f aca="false">A849+1</f>
        <v>849</v>
      </c>
    </row>
    <row r="851" customFormat="false" ht="15" hidden="false" customHeight="false" outlineLevel="0" collapsed="false">
      <c r="A851" s="0" t="n">
        <f aca="false">A850+1</f>
        <v>850</v>
      </c>
    </row>
    <row r="852" customFormat="false" ht="15" hidden="false" customHeight="false" outlineLevel="0" collapsed="false">
      <c r="A852" s="0" t="n">
        <f aca="false">A851+1</f>
        <v>851</v>
      </c>
    </row>
    <row r="853" customFormat="false" ht="15" hidden="false" customHeight="false" outlineLevel="0" collapsed="false">
      <c r="A853" s="0" t="n">
        <f aca="false">A852+1</f>
        <v>852</v>
      </c>
    </row>
    <row r="854" customFormat="false" ht="15" hidden="false" customHeight="false" outlineLevel="0" collapsed="false">
      <c r="A854" s="0" t="n">
        <f aca="false">A853+1</f>
        <v>853</v>
      </c>
    </row>
    <row r="855" customFormat="false" ht="15" hidden="false" customHeight="false" outlineLevel="0" collapsed="false">
      <c r="A855" s="0" t="n">
        <f aca="false">A854+1</f>
        <v>854</v>
      </c>
    </row>
    <row r="856" customFormat="false" ht="15" hidden="false" customHeight="false" outlineLevel="0" collapsed="false">
      <c r="A856" s="0" t="n">
        <f aca="false">A855+1</f>
        <v>855</v>
      </c>
    </row>
    <row r="857" customFormat="false" ht="15" hidden="false" customHeight="false" outlineLevel="0" collapsed="false">
      <c r="A857" s="0" t="n">
        <f aca="false">A856+1</f>
        <v>856</v>
      </c>
    </row>
    <row r="858" customFormat="false" ht="15" hidden="false" customHeight="false" outlineLevel="0" collapsed="false">
      <c r="A858" s="0" t="n">
        <f aca="false">A857+1</f>
        <v>857</v>
      </c>
    </row>
    <row r="859" customFormat="false" ht="15" hidden="false" customHeight="false" outlineLevel="0" collapsed="false">
      <c r="A859" s="0" t="n">
        <f aca="false">A858+1</f>
        <v>858</v>
      </c>
    </row>
    <row r="860" customFormat="false" ht="15" hidden="false" customHeight="false" outlineLevel="0" collapsed="false">
      <c r="A860" s="0" t="n">
        <f aca="false">A859+1</f>
        <v>859</v>
      </c>
    </row>
    <row r="861" customFormat="false" ht="15" hidden="false" customHeight="false" outlineLevel="0" collapsed="false">
      <c r="A861" s="0" t="n">
        <f aca="false">A860+1</f>
        <v>860</v>
      </c>
    </row>
    <row r="862" customFormat="false" ht="15" hidden="false" customHeight="false" outlineLevel="0" collapsed="false">
      <c r="A862" s="0" t="n">
        <f aca="false">A861+1</f>
        <v>861</v>
      </c>
    </row>
    <row r="863" customFormat="false" ht="15" hidden="false" customHeight="false" outlineLevel="0" collapsed="false">
      <c r="A863" s="0" t="n">
        <f aca="false">A862+1</f>
        <v>862</v>
      </c>
    </row>
    <row r="864" customFormat="false" ht="15" hidden="false" customHeight="false" outlineLevel="0" collapsed="false">
      <c r="A864" s="0" t="n">
        <f aca="false">A863+1</f>
        <v>863</v>
      </c>
    </row>
    <row r="865" customFormat="false" ht="15" hidden="false" customHeight="false" outlineLevel="0" collapsed="false">
      <c r="A865" s="0" t="n">
        <f aca="false">A864+1</f>
        <v>864</v>
      </c>
    </row>
    <row r="866" customFormat="false" ht="15" hidden="false" customHeight="false" outlineLevel="0" collapsed="false">
      <c r="A866" s="0" t="n">
        <f aca="false">A865+1</f>
        <v>865</v>
      </c>
    </row>
    <row r="867" customFormat="false" ht="15" hidden="false" customHeight="false" outlineLevel="0" collapsed="false">
      <c r="A867" s="0" t="n">
        <f aca="false">A866+1</f>
        <v>866</v>
      </c>
    </row>
    <row r="868" customFormat="false" ht="15" hidden="false" customHeight="false" outlineLevel="0" collapsed="false">
      <c r="A868" s="0" t="n">
        <f aca="false">A867+1</f>
        <v>867</v>
      </c>
    </row>
    <row r="869" customFormat="false" ht="15" hidden="false" customHeight="false" outlineLevel="0" collapsed="false">
      <c r="A869" s="0" t="n">
        <f aca="false">A868+1</f>
        <v>868</v>
      </c>
    </row>
    <row r="870" customFormat="false" ht="15" hidden="false" customHeight="false" outlineLevel="0" collapsed="false">
      <c r="A870" s="0" t="n">
        <f aca="false">A869+1</f>
        <v>869</v>
      </c>
    </row>
    <row r="871" customFormat="false" ht="15" hidden="false" customHeight="false" outlineLevel="0" collapsed="false">
      <c r="A871" s="0" t="n">
        <f aca="false">A870+1</f>
        <v>870</v>
      </c>
    </row>
    <row r="872" customFormat="false" ht="15" hidden="false" customHeight="false" outlineLevel="0" collapsed="false">
      <c r="A872" s="0" t="n">
        <f aca="false">A871+1</f>
        <v>871</v>
      </c>
    </row>
    <row r="873" customFormat="false" ht="15" hidden="false" customHeight="false" outlineLevel="0" collapsed="false">
      <c r="A873" s="0" t="n">
        <f aca="false">A872+1</f>
        <v>872</v>
      </c>
    </row>
    <row r="874" customFormat="false" ht="15" hidden="false" customHeight="false" outlineLevel="0" collapsed="false">
      <c r="A874" s="0" t="n">
        <f aca="false">A873+1</f>
        <v>873</v>
      </c>
    </row>
    <row r="875" customFormat="false" ht="15" hidden="false" customHeight="false" outlineLevel="0" collapsed="false">
      <c r="A875" s="0" t="n">
        <f aca="false">A874+1</f>
        <v>874</v>
      </c>
    </row>
    <row r="876" customFormat="false" ht="15" hidden="false" customHeight="false" outlineLevel="0" collapsed="false">
      <c r="A876" s="0" t="n">
        <f aca="false">A875+1</f>
        <v>875</v>
      </c>
    </row>
    <row r="877" customFormat="false" ht="15" hidden="false" customHeight="false" outlineLevel="0" collapsed="false">
      <c r="A877" s="0" t="n">
        <f aca="false">A876+1</f>
        <v>876</v>
      </c>
    </row>
    <row r="878" customFormat="false" ht="15" hidden="false" customHeight="false" outlineLevel="0" collapsed="false">
      <c r="A878" s="0" t="n">
        <f aca="false">A877+1</f>
        <v>877</v>
      </c>
    </row>
    <row r="879" customFormat="false" ht="15" hidden="false" customHeight="false" outlineLevel="0" collapsed="false">
      <c r="A879" s="0" t="n">
        <f aca="false">A878+1</f>
        <v>878</v>
      </c>
    </row>
    <row r="880" customFormat="false" ht="15" hidden="false" customHeight="false" outlineLevel="0" collapsed="false">
      <c r="A880" s="0" t="n">
        <f aca="false">A879+1</f>
        <v>879</v>
      </c>
    </row>
    <row r="881" customFormat="false" ht="15" hidden="false" customHeight="false" outlineLevel="0" collapsed="false">
      <c r="A881" s="0" t="n">
        <f aca="false">A880+1</f>
        <v>880</v>
      </c>
    </row>
    <row r="882" customFormat="false" ht="15" hidden="false" customHeight="false" outlineLevel="0" collapsed="false">
      <c r="A882" s="0" t="n">
        <f aca="false">A881+1</f>
        <v>881</v>
      </c>
    </row>
    <row r="883" customFormat="false" ht="15" hidden="false" customHeight="false" outlineLevel="0" collapsed="false">
      <c r="A883" s="0" t="n">
        <f aca="false">A882+1</f>
        <v>882</v>
      </c>
    </row>
    <row r="884" customFormat="false" ht="15" hidden="false" customHeight="false" outlineLevel="0" collapsed="false">
      <c r="A884" s="0" t="n">
        <f aca="false">A883+1</f>
        <v>883</v>
      </c>
    </row>
    <row r="885" customFormat="false" ht="15" hidden="false" customHeight="false" outlineLevel="0" collapsed="false">
      <c r="A885" s="0" t="n">
        <f aca="false">A884+1</f>
        <v>884</v>
      </c>
    </row>
    <row r="886" customFormat="false" ht="15" hidden="false" customHeight="false" outlineLevel="0" collapsed="false">
      <c r="A886" s="0" t="n">
        <f aca="false">A885+1</f>
        <v>885</v>
      </c>
    </row>
    <row r="887" customFormat="false" ht="15" hidden="false" customHeight="false" outlineLevel="0" collapsed="false">
      <c r="A887" s="0" t="n">
        <f aca="false">A886+1</f>
        <v>886</v>
      </c>
    </row>
    <row r="888" customFormat="false" ht="15" hidden="false" customHeight="false" outlineLevel="0" collapsed="false">
      <c r="A888" s="0" t="n">
        <f aca="false">A887+1</f>
        <v>887</v>
      </c>
    </row>
    <row r="889" customFormat="false" ht="15" hidden="false" customHeight="false" outlineLevel="0" collapsed="false">
      <c r="A889" s="0" t="n">
        <f aca="false">A888+1</f>
        <v>888</v>
      </c>
    </row>
    <row r="890" customFormat="false" ht="15" hidden="false" customHeight="false" outlineLevel="0" collapsed="false">
      <c r="A890" s="0" t="n">
        <f aca="false">A889+1</f>
        <v>889</v>
      </c>
    </row>
    <row r="891" customFormat="false" ht="15" hidden="false" customHeight="false" outlineLevel="0" collapsed="false">
      <c r="A891" s="0" t="n">
        <f aca="false">A890+1</f>
        <v>890</v>
      </c>
    </row>
    <row r="892" customFormat="false" ht="15" hidden="false" customHeight="false" outlineLevel="0" collapsed="false">
      <c r="A892" s="0" t="n">
        <f aca="false">A891+1</f>
        <v>891</v>
      </c>
    </row>
    <row r="893" customFormat="false" ht="15" hidden="false" customHeight="false" outlineLevel="0" collapsed="false">
      <c r="A893" s="0" t="n">
        <f aca="false">A892+1</f>
        <v>892</v>
      </c>
    </row>
    <row r="894" customFormat="false" ht="15" hidden="false" customHeight="false" outlineLevel="0" collapsed="false">
      <c r="A894" s="0" t="n">
        <f aca="false">A893+1</f>
        <v>893</v>
      </c>
    </row>
    <row r="895" customFormat="false" ht="15" hidden="false" customHeight="false" outlineLevel="0" collapsed="false">
      <c r="A895" s="0" t="n">
        <f aca="false">A894+1</f>
        <v>894</v>
      </c>
    </row>
    <row r="896" customFormat="false" ht="15" hidden="false" customHeight="false" outlineLevel="0" collapsed="false">
      <c r="A896" s="0" t="n">
        <f aca="false">A895+1</f>
        <v>895</v>
      </c>
    </row>
    <row r="897" customFormat="false" ht="15" hidden="false" customHeight="false" outlineLevel="0" collapsed="false">
      <c r="A897" s="0" t="n">
        <f aca="false">A896+1</f>
        <v>896</v>
      </c>
    </row>
    <row r="898" customFormat="false" ht="15" hidden="false" customHeight="false" outlineLevel="0" collapsed="false">
      <c r="A898" s="0" t="n">
        <f aca="false">A897+1</f>
        <v>897</v>
      </c>
    </row>
    <row r="899" customFormat="false" ht="15" hidden="false" customHeight="false" outlineLevel="0" collapsed="false">
      <c r="A899" s="0" t="n">
        <f aca="false">A898+1</f>
        <v>898</v>
      </c>
    </row>
    <row r="900" customFormat="false" ht="15" hidden="false" customHeight="false" outlineLevel="0" collapsed="false">
      <c r="A900" s="0" t="n">
        <f aca="false">A899+1</f>
        <v>899</v>
      </c>
    </row>
    <row r="901" customFormat="false" ht="15" hidden="false" customHeight="false" outlineLevel="0" collapsed="false">
      <c r="A901" s="0" t="n">
        <f aca="false">A900+1</f>
        <v>900</v>
      </c>
    </row>
    <row r="902" customFormat="false" ht="15" hidden="false" customHeight="false" outlineLevel="0" collapsed="false">
      <c r="A902" s="0" t="n">
        <f aca="false">A901+1</f>
        <v>901</v>
      </c>
    </row>
    <row r="903" customFormat="false" ht="15" hidden="false" customHeight="false" outlineLevel="0" collapsed="false">
      <c r="A903" s="0" t="n">
        <f aca="false">A902+1</f>
        <v>902</v>
      </c>
    </row>
    <row r="904" customFormat="false" ht="15" hidden="false" customHeight="false" outlineLevel="0" collapsed="false">
      <c r="A904" s="0" t="n">
        <f aca="false">A903+1</f>
        <v>903</v>
      </c>
    </row>
    <row r="905" customFormat="false" ht="15" hidden="false" customHeight="false" outlineLevel="0" collapsed="false">
      <c r="A905" s="0" t="n">
        <f aca="false">A904+1</f>
        <v>904</v>
      </c>
    </row>
    <row r="906" customFormat="false" ht="15" hidden="false" customHeight="false" outlineLevel="0" collapsed="false">
      <c r="A906" s="0" t="n">
        <f aca="false">A905+1</f>
        <v>905</v>
      </c>
    </row>
    <row r="907" customFormat="false" ht="15" hidden="false" customHeight="false" outlineLevel="0" collapsed="false">
      <c r="A907" s="0" t="n">
        <f aca="false">A906+1</f>
        <v>906</v>
      </c>
    </row>
    <row r="908" customFormat="false" ht="15" hidden="false" customHeight="false" outlineLevel="0" collapsed="false">
      <c r="A908" s="0" t="n">
        <f aca="false">A907+1</f>
        <v>907</v>
      </c>
    </row>
    <row r="909" customFormat="false" ht="15" hidden="false" customHeight="false" outlineLevel="0" collapsed="false">
      <c r="A909" s="0" t="n">
        <f aca="false">A908+1</f>
        <v>908</v>
      </c>
    </row>
    <row r="910" customFormat="false" ht="15" hidden="false" customHeight="false" outlineLevel="0" collapsed="false">
      <c r="A910" s="0" t="n">
        <f aca="false">A909+1</f>
        <v>909</v>
      </c>
    </row>
    <row r="911" customFormat="false" ht="15" hidden="false" customHeight="false" outlineLevel="0" collapsed="false">
      <c r="A911" s="0" t="n">
        <f aca="false">A910+1</f>
        <v>910</v>
      </c>
    </row>
    <row r="912" customFormat="false" ht="15" hidden="false" customHeight="false" outlineLevel="0" collapsed="false">
      <c r="A912" s="0" t="n">
        <f aca="false">A911+1</f>
        <v>911</v>
      </c>
    </row>
    <row r="913" customFormat="false" ht="15" hidden="false" customHeight="false" outlineLevel="0" collapsed="false">
      <c r="A913" s="0" t="n">
        <f aca="false">A912+1</f>
        <v>912</v>
      </c>
    </row>
    <row r="914" customFormat="false" ht="15" hidden="false" customHeight="false" outlineLevel="0" collapsed="false">
      <c r="A914" s="0" t="n">
        <f aca="false">A913+1</f>
        <v>913</v>
      </c>
    </row>
    <row r="915" customFormat="false" ht="15" hidden="false" customHeight="false" outlineLevel="0" collapsed="false">
      <c r="A915" s="0" t="n">
        <f aca="false">A914+1</f>
        <v>914</v>
      </c>
    </row>
    <row r="916" customFormat="false" ht="15" hidden="false" customHeight="false" outlineLevel="0" collapsed="false">
      <c r="A916" s="0" t="n">
        <f aca="false">A915+1</f>
        <v>915</v>
      </c>
    </row>
    <row r="917" customFormat="false" ht="15" hidden="false" customHeight="false" outlineLevel="0" collapsed="false">
      <c r="A917" s="0" t="n">
        <f aca="false">A916+1</f>
        <v>916</v>
      </c>
    </row>
    <row r="918" customFormat="false" ht="15" hidden="false" customHeight="false" outlineLevel="0" collapsed="false">
      <c r="A918" s="0" t="n">
        <f aca="false">A917+1</f>
        <v>917</v>
      </c>
    </row>
    <row r="919" customFormat="false" ht="15" hidden="false" customHeight="false" outlineLevel="0" collapsed="false">
      <c r="A919" s="0" t="n">
        <f aca="false">A918+1</f>
        <v>918</v>
      </c>
    </row>
    <row r="920" customFormat="false" ht="15" hidden="false" customHeight="false" outlineLevel="0" collapsed="false">
      <c r="A920" s="0" t="n">
        <f aca="false">A919+1</f>
        <v>919</v>
      </c>
    </row>
    <row r="921" customFormat="false" ht="15" hidden="false" customHeight="false" outlineLevel="0" collapsed="false">
      <c r="A921" s="0" t="n">
        <f aca="false">A920+1</f>
        <v>920</v>
      </c>
    </row>
    <row r="922" customFormat="false" ht="15" hidden="false" customHeight="false" outlineLevel="0" collapsed="false">
      <c r="A922" s="0" t="n">
        <f aca="false">A921+1</f>
        <v>921</v>
      </c>
    </row>
    <row r="923" customFormat="false" ht="15" hidden="false" customHeight="false" outlineLevel="0" collapsed="false">
      <c r="A923" s="0" t="n">
        <f aca="false">A922+1</f>
        <v>922</v>
      </c>
    </row>
    <row r="924" customFormat="false" ht="15" hidden="false" customHeight="false" outlineLevel="0" collapsed="false">
      <c r="A924" s="0" t="n">
        <f aca="false">A923+1</f>
        <v>923</v>
      </c>
    </row>
    <row r="925" customFormat="false" ht="15" hidden="false" customHeight="false" outlineLevel="0" collapsed="false">
      <c r="A925" s="0" t="n">
        <f aca="false">A924+1</f>
        <v>924</v>
      </c>
    </row>
    <row r="926" customFormat="false" ht="15" hidden="false" customHeight="false" outlineLevel="0" collapsed="false">
      <c r="A926" s="0" t="n">
        <f aca="false">A925+1</f>
        <v>925</v>
      </c>
    </row>
    <row r="927" customFormat="false" ht="15" hidden="false" customHeight="false" outlineLevel="0" collapsed="false">
      <c r="A927" s="0" t="n">
        <f aca="false">A926+1</f>
        <v>926</v>
      </c>
    </row>
    <row r="928" customFormat="false" ht="15" hidden="false" customHeight="false" outlineLevel="0" collapsed="false">
      <c r="A928" s="0" t="n">
        <f aca="false">A927+1</f>
        <v>927</v>
      </c>
    </row>
    <row r="929" customFormat="false" ht="15" hidden="false" customHeight="false" outlineLevel="0" collapsed="false">
      <c r="A929" s="0" t="n">
        <f aca="false">A928+1</f>
        <v>928</v>
      </c>
    </row>
    <row r="930" customFormat="false" ht="15" hidden="false" customHeight="false" outlineLevel="0" collapsed="false">
      <c r="A930" s="0" t="n">
        <f aca="false">A929+1</f>
        <v>929</v>
      </c>
    </row>
    <row r="931" customFormat="false" ht="15" hidden="false" customHeight="false" outlineLevel="0" collapsed="false">
      <c r="A931" s="0" t="n">
        <f aca="false">A930+1</f>
        <v>930</v>
      </c>
    </row>
    <row r="932" customFormat="false" ht="15" hidden="false" customHeight="false" outlineLevel="0" collapsed="false">
      <c r="A932" s="0" t="n">
        <f aca="false">A931+1</f>
        <v>931</v>
      </c>
    </row>
    <row r="933" customFormat="false" ht="15" hidden="false" customHeight="false" outlineLevel="0" collapsed="false">
      <c r="A933" s="0" t="n">
        <f aca="false">A932+1</f>
        <v>932</v>
      </c>
    </row>
    <row r="934" customFormat="false" ht="15" hidden="false" customHeight="false" outlineLevel="0" collapsed="false">
      <c r="A934" s="0" t="n">
        <f aca="false">A933+1</f>
        <v>933</v>
      </c>
    </row>
    <row r="935" customFormat="false" ht="15" hidden="false" customHeight="false" outlineLevel="0" collapsed="false">
      <c r="A935" s="0" t="n">
        <f aca="false">A934+1</f>
        <v>934</v>
      </c>
    </row>
    <row r="936" customFormat="false" ht="15" hidden="false" customHeight="false" outlineLevel="0" collapsed="false">
      <c r="A936" s="0" t="n">
        <f aca="false">A935+1</f>
        <v>935</v>
      </c>
    </row>
    <row r="937" customFormat="false" ht="15" hidden="false" customHeight="false" outlineLevel="0" collapsed="false">
      <c r="A937" s="0" t="n">
        <f aca="false">A936+1</f>
        <v>936</v>
      </c>
    </row>
    <row r="938" customFormat="false" ht="15" hidden="false" customHeight="false" outlineLevel="0" collapsed="false">
      <c r="A938" s="0" t="n">
        <f aca="false">A937+1</f>
        <v>937</v>
      </c>
    </row>
    <row r="939" customFormat="false" ht="15" hidden="false" customHeight="false" outlineLevel="0" collapsed="false">
      <c r="A939" s="0" t="n">
        <f aca="false">A938+1</f>
        <v>938</v>
      </c>
    </row>
    <row r="940" customFormat="false" ht="15" hidden="false" customHeight="false" outlineLevel="0" collapsed="false">
      <c r="A940" s="0" t="n">
        <f aca="false">A939+1</f>
        <v>939</v>
      </c>
    </row>
    <row r="941" customFormat="false" ht="15" hidden="false" customHeight="false" outlineLevel="0" collapsed="false">
      <c r="A941" s="0" t="n">
        <f aca="false">A940+1</f>
        <v>940</v>
      </c>
    </row>
    <row r="942" customFormat="false" ht="15" hidden="false" customHeight="false" outlineLevel="0" collapsed="false">
      <c r="A942" s="0" t="n">
        <f aca="false">A941+1</f>
        <v>941</v>
      </c>
    </row>
    <row r="943" customFormat="false" ht="15" hidden="false" customHeight="false" outlineLevel="0" collapsed="false">
      <c r="A943" s="0" t="n">
        <f aca="false">A942+1</f>
        <v>942</v>
      </c>
    </row>
    <row r="944" customFormat="false" ht="15" hidden="false" customHeight="false" outlineLevel="0" collapsed="false">
      <c r="A944" s="0" t="n">
        <f aca="false">A943+1</f>
        <v>943</v>
      </c>
    </row>
    <row r="945" customFormat="false" ht="15" hidden="false" customHeight="false" outlineLevel="0" collapsed="false">
      <c r="A945" s="0" t="n">
        <f aca="false">A944+1</f>
        <v>944</v>
      </c>
    </row>
    <row r="946" customFormat="false" ht="15" hidden="false" customHeight="false" outlineLevel="0" collapsed="false">
      <c r="A946" s="0" t="n">
        <f aca="false">A945+1</f>
        <v>945</v>
      </c>
    </row>
    <row r="947" customFormat="false" ht="15" hidden="false" customHeight="false" outlineLevel="0" collapsed="false">
      <c r="A947" s="0" t="n">
        <f aca="false">A946+1</f>
        <v>946</v>
      </c>
    </row>
    <row r="948" customFormat="false" ht="15" hidden="false" customHeight="false" outlineLevel="0" collapsed="false">
      <c r="A948" s="0" t="n">
        <f aca="false">A947+1</f>
        <v>947</v>
      </c>
    </row>
    <row r="949" customFormat="false" ht="15" hidden="false" customHeight="false" outlineLevel="0" collapsed="false">
      <c r="A949" s="0" t="n">
        <f aca="false">A948+1</f>
        <v>948</v>
      </c>
    </row>
    <row r="950" customFormat="false" ht="15" hidden="false" customHeight="false" outlineLevel="0" collapsed="false">
      <c r="A950" s="0" t="n">
        <f aca="false">A949+1</f>
        <v>949</v>
      </c>
    </row>
    <row r="951" customFormat="false" ht="15" hidden="false" customHeight="false" outlineLevel="0" collapsed="false">
      <c r="A951" s="0" t="n">
        <f aca="false">A950+1</f>
        <v>950</v>
      </c>
    </row>
    <row r="952" customFormat="false" ht="15" hidden="false" customHeight="false" outlineLevel="0" collapsed="false">
      <c r="A952" s="0" t="n">
        <f aca="false">A951+1</f>
        <v>951</v>
      </c>
    </row>
    <row r="953" customFormat="false" ht="15" hidden="false" customHeight="false" outlineLevel="0" collapsed="false">
      <c r="A953" s="0" t="n">
        <f aca="false">A952+1</f>
        <v>952</v>
      </c>
    </row>
    <row r="954" customFormat="false" ht="15" hidden="false" customHeight="false" outlineLevel="0" collapsed="false">
      <c r="A954" s="0" t="n">
        <f aca="false">A953+1</f>
        <v>953</v>
      </c>
    </row>
    <row r="955" customFormat="false" ht="15" hidden="false" customHeight="false" outlineLevel="0" collapsed="false">
      <c r="A955" s="0" t="n">
        <f aca="false">A954+1</f>
        <v>954</v>
      </c>
    </row>
    <row r="956" customFormat="false" ht="15" hidden="false" customHeight="false" outlineLevel="0" collapsed="false">
      <c r="A956" s="0" t="n">
        <f aca="false">A955+1</f>
        <v>955</v>
      </c>
    </row>
    <row r="957" customFormat="false" ht="15" hidden="false" customHeight="false" outlineLevel="0" collapsed="false">
      <c r="A957" s="0" t="n">
        <f aca="false">A956+1</f>
        <v>956</v>
      </c>
    </row>
    <row r="958" customFormat="false" ht="15" hidden="false" customHeight="false" outlineLevel="0" collapsed="false">
      <c r="A958" s="0" t="n">
        <f aca="false">A957+1</f>
        <v>957</v>
      </c>
    </row>
    <row r="959" customFormat="false" ht="15" hidden="false" customHeight="false" outlineLevel="0" collapsed="false">
      <c r="A959" s="0" t="n">
        <f aca="false">A958+1</f>
        <v>958</v>
      </c>
    </row>
    <row r="960" customFormat="false" ht="15" hidden="false" customHeight="false" outlineLevel="0" collapsed="false">
      <c r="A960" s="0" t="n">
        <f aca="false">A959+1</f>
        <v>959</v>
      </c>
    </row>
    <row r="961" customFormat="false" ht="15" hidden="false" customHeight="false" outlineLevel="0" collapsed="false">
      <c r="A961" s="0" t="n">
        <f aca="false">A960+1</f>
        <v>960</v>
      </c>
    </row>
    <row r="962" customFormat="false" ht="15" hidden="false" customHeight="false" outlineLevel="0" collapsed="false">
      <c r="A962" s="0" t="n">
        <f aca="false">A961+1</f>
        <v>961</v>
      </c>
    </row>
    <row r="963" customFormat="false" ht="15" hidden="false" customHeight="false" outlineLevel="0" collapsed="false">
      <c r="A963" s="0" t="n">
        <f aca="false">A962+1</f>
        <v>962</v>
      </c>
    </row>
    <row r="964" customFormat="false" ht="15" hidden="false" customHeight="false" outlineLevel="0" collapsed="false">
      <c r="A964" s="0" t="n">
        <f aca="false">A963+1</f>
        <v>963</v>
      </c>
    </row>
    <row r="965" customFormat="false" ht="15" hidden="false" customHeight="false" outlineLevel="0" collapsed="false">
      <c r="A965" s="0" t="n">
        <f aca="false">A964+1</f>
        <v>964</v>
      </c>
    </row>
    <row r="966" customFormat="false" ht="15" hidden="false" customHeight="false" outlineLevel="0" collapsed="false">
      <c r="A966" s="0" t="n">
        <f aca="false">A965+1</f>
        <v>965</v>
      </c>
    </row>
    <row r="967" customFormat="false" ht="15" hidden="false" customHeight="false" outlineLevel="0" collapsed="false">
      <c r="A967" s="0" t="n">
        <f aca="false">A966+1</f>
        <v>966</v>
      </c>
    </row>
    <row r="968" customFormat="false" ht="15" hidden="false" customHeight="false" outlineLevel="0" collapsed="false">
      <c r="A968" s="0" t="n">
        <f aca="false">A967+1</f>
        <v>967</v>
      </c>
    </row>
    <row r="969" customFormat="false" ht="15" hidden="false" customHeight="false" outlineLevel="0" collapsed="false">
      <c r="A969" s="0" t="n">
        <f aca="false">A968+1</f>
        <v>968</v>
      </c>
    </row>
    <row r="970" customFormat="false" ht="15" hidden="false" customHeight="false" outlineLevel="0" collapsed="false">
      <c r="A970" s="0" t="n">
        <f aca="false">A969+1</f>
        <v>969</v>
      </c>
    </row>
    <row r="971" customFormat="false" ht="15" hidden="false" customHeight="false" outlineLevel="0" collapsed="false">
      <c r="A971" s="0" t="n">
        <f aca="false">A970+1</f>
        <v>970</v>
      </c>
    </row>
    <row r="972" customFormat="false" ht="15" hidden="false" customHeight="false" outlineLevel="0" collapsed="false">
      <c r="A972" s="0" t="n">
        <f aca="false">A971+1</f>
        <v>971</v>
      </c>
    </row>
    <row r="973" customFormat="false" ht="15" hidden="false" customHeight="false" outlineLevel="0" collapsed="false">
      <c r="A973" s="0" t="n">
        <f aca="false">A972+1</f>
        <v>972</v>
      </c>
    </row>
    <row r="974" customFormat="false" ht="15" hidden="false" customHeight="false" outlineLevel="0" collapsed="false">
      <c r="A974" s="0" t="n">
        <f aca="false">A973+1</f>
        <v>973</v>
      </c>
    </row>
    <row r="975" customFormat="false" ht="15" hidden="false" customHeight="false" outlineLevel="0" collapsed="false">
      <c r="A975" s="0" t="n">
        <f aca="false">A974+1</f>
        <v>974</v>
      </c>
    </row>
    <row r="976" customFormat="false" ht="15" hidden="false" customHeight="false" outlineLevel="0" collapsed="false">
      <c r="A976" s="0" t="n">
        <f aca="false">A975+1</f>
        <v>975</v>
      </c>
    </row>
    <row r="977" customFormat="false" ht="15" hidden="false" customHeight="false" outlineLevel="0" collapsed="false">
      <c r="A977" s="0" t="n">
        <f aca="false">A976+1</f>
        <v>976</v>
      </c>
    </row>
    <row r="978" customFormat="false" ht="15" hidden="false" customHeight="false" outlineLevel="0" collapsed="false">
      <c r="A978" s="0" t="n">
        <f aca="false">A977+1</f>
        <v>977</v>
      </c>
    </row>
    <row r="979" customFormat="false" ht="15" hidden="false" customHeight="false" outlineLevel="0" collapsed="false">
      <c r="A979" s="0" t="n">
        <f aca="false">A978+1</f>
        <v>978</v>
      </c>
    </row>
    <row r="980" customFormat="false" ht="15" hidden="false" customHeight="false" outlineLevel="0" collapsed="false">
      <c r="A980" s="0" t="n">
        <f aca="false">A979+1</f>
        <v>979</v>
      </c>
    </row>
    <row r="981" customFormat="false" ht="15" hidden="false" customHeight="false" outlineLevel="0" collapsed="false">
      <c r="A981" s="0" t="n">
        <f aca="false">A980+1</f>
        <v>980</v>
      </c>
    </row>
    <row r="982" customFormat="false" ht="15" hidden="false" customHeight="false" outlineLevel="0" collapsed="false">
      <c r="A982" s="0" t="n">
        <f aca="false">A981+1</f>
        <v>981</v>
      </c>
    </row>
    <row r="983" customFormat="false" ht="15" hidden="false" customHeight="false" outlineLevel="0" collapsed="false">
      <c r="A983" s="0" t="n">
        <f aca="false">A982+1</f>
        <v>982</v>
      </c>
    </row>
    <row r="984" customFormat="false" ht="15" hidden="false" customHeight="false" outlineLevel="0" collapsed="false">
      <c r="A984" s="0" t="n">
        <f aca="false">A983+1</f>
        <v>983</v>
      </c>
    </row>
    <row r="985" customFormat="false" ht="15" hidden="false" customHeight="false" outlineLevel="0" collapsed="false">
      <c r="A985" s="0" t="n">
        <f aca="false">A984+1</f>
        <v>984</v>
      </c>
    </row>
    <row r="986" customFormat="false" ht="15" hidden="false" customHeight="false" outlineLevel="0" collapsed="false">
      <c r="A986" s="0" t="n">
        <f aca="false">A985+1</f>
        <v>985</v>
      </c>
    </row>
    <row r="987" customFormat="false" ht="15" hidden="false" customHeight="false" outlineLevel="0" collapsed="false">
      <c r="A987" s="0" t="n">
        <f aca="false">A986+1</f>
        <v>986</v>
      </c>
    </row>
    <row r="988" customFormat="false" ht="15" hidden="false" customHeight="false" outlineLevel="0" collapsed="false">
      <c r="A988" s="0" t="n">
        <f aca="false">A987+1</f>
        <v>987</v>
      </c>
    </row>
    <row r="989" customFormat="false" ht="15" hidden="false" customHeight="false" outlineLevel="0" collapsed="false">
      <c r="A989" s="0" t="n">
        <f aca="false">A988+1</f>
        <v>988</v>
      </c>
    </row>
    <row r="990" customFormat="false" ht="15" hidden="false" customHeight="false" outlineLevel="0" collapsed="false">
      <c r="A990" s="0" t="n">
        <f aca="false">A989+1</f>
        <v>989</v>
      </c>
    </row>
    <row r="991" customFormat="false" ht="15" hidden="false" customHeight="false" outlineLevel="0" collapsed="false">
      <c r="A991" s="0" t="n">
        <f aca="false">A990+1</f>
        <v>990</v>
      </c>
    </row>
    <row r="992" customFormat="false" ht="15" hidden="false" customHeight="false" outlineLevel="0" collapsed="false">
      <c r="A992" s="0" t="n">
        <f aca="false">A991+1</f>
        <v>991</v>
      </c>
    </row>
    <row r="993" customFormat="false" ht="15" hidden="false" customHeight="false" outlineLevel="0" collapsed="false">
      <c r="A993" s="0" t="n">
        <f aca="false">A992+1</f>
        <v>992</v>
      </c>
    </row>
    <row r="994" customFormat="false" ht="15" hidden="false" customHeight="false" outlineLevel="0" collapsed="false">
      <c r="A994" s="0" t="n">
        <f aca="false">A993+1</f>
        <v>993</v>
      </c>
    </row>
    <row r="995" customFormat="false" ht="15" hidden="false" customHeight="false" outlineLevel="0" collapsed="false">
      <c r="A995" s="0" t="n">
        <f aca="false">A994+1</f>
        <v>994</v>
      </c>
    </row>
    <row r="996" customFormat="false" ht="15" hidden="false" customHeight="false" outlineLevel="0" collapsed="false">
      <c r="A996" s="0" t="n">
        <f aca="false">A995+1</f>
        <v>995</v>
      </c>
    </row>
    <row r="997" customFormat="false" ht="15" hidden="false" customHeight="false" outlineLevel="0" collapsed="false">
      <c r="A997" s="0" t="n">
        <f aca="false">A996+1</f>
        <v>996</v>
      </c>
    </row>
    <row r="998" customFormat="false" ht="15" hidden="false" customHeight="false" outlineLevel="0" collapsed="false">
      <c r="A998" s="0" t="n">
        <f aca="false">A997+1</f>
        <v>997</v>
      </c>
    </row>
    <row r="999" customFormat="false" ht="15" hidden="false" customHeight="false" outlineLevel="0" collapsed="false">
      <c r="A999" s="0" t="n">
        <f aca="false">A998+1</f>
        <v>998</v>
      </c>
    </row>
    <row r="1000" customFormat="false" ht="15" hidden="false" customHeight="false" outlineLevel="0" collapsed="false">
      <c r="A1000" s="0" t="n">
        <f aca="false">A999+1</f>
        <v>999</v>
      </c>
    </row>
    <row r="1001" customFormat="false" ht="15" hidden="false" customHeight="false" outlineLevel="0" collapsed="false">
      <c r="A1001" s="0" t="n">
        <f aca="false">A1000+1</f>
        <v>1000</v>
      </c>
    </row>
  </sheetData>
  <sheetProtection sheet="true" objects="true" scenarios="true" formatCells="false" formatColumns="false" formatRows="false" sort="false" autoFilter="false"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3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32" topLeftCell="A129" activePane="bottomLeft" state="frozen"/>
      <selection pane="topLeft" activeCell="D1" activeCellId="0" sqref="D1"/>
      <selection pane="bottomLeft" activeCell="F5" activeCellId="0" sqref="F5"/>
    </sheetView>
  </sheetViews>
  <sheetFormatPr defaultColWidth="11.43359375" defaultRowHeight="11.25" zeroHeight="false" outlineLevelRow="0" outlineLevelCol="0"/>
  <cols>
    <col collapsed="false" customWidth="true" hidden="true" outlineLevel="0" max="3" min="1" style="6" width="11.52"/>
    <col collapsed="false" customWidth="true" hidden="false" outlineLevel="0" max="4" min="4" style="6" width="5.7"/>
    <col collapsed="false" customWidth="true" hidden="false" outlineLevel="0" max="5" min="5" style="6" width="6.71"/>
    <col collapsed="false" customWidth="true" hidden="false" outlineLevel="0" max="6" min="6" style="6" width="45.71"/>
    <col collapsed="false" customWidth="true" hidden="false" outlineLevel="0" max="11" min="7" style="6" width="7.71"/>
    <col collapsed="false" customWidth="true" hidden="true" outlineLevel="0" max="20" min="12" style="6" width="11.52"/>
    <col collapsed="false" customWidth="false" hidden="false" outlineLevel="0" max="1024" min="21" style="6" width="11.42"/>
  </cols>
  <sheetData>
    <row r="1" customFormat="false" ht="12" hidden="false" customHeight="true" outlineLevel="0" collapsed="false">
      <c r="A1" s="6" t="n">
        <v>1</v>
      </c>
      <c r="B1" s="6" t="str">
        <f aca="false">Codestufen!B2</f>
        <v>love</v>
      </c>
      <c r="C1" s="6" t="n">
        <f aca="false">COUNTIF(V_W_Q6_Zuord,A1)</f>
        <v>31</v>
      </c>
      <c r="D1" s="7" t="s">
        <v>12</v>
      </c>
      <c r="E1" s="8"/>
      <c r="F1" s="9"/>
      <c r="G1" s="8"/>
      <c r="H1" s="10"/>
      <c r="I1" s="8"/>
      <c r="J1" s="8"/>
    </row>
    <row r="2" customFormat="false" ht="3" hidden="false" customHeight="true" outlineLevel="0" collapsed="false">
      <c r="A2" s="11" t="n">
        <v>2</v>
      </c>
      <c r="B2" s="6" t="str">
        <f aca="false">Codestufen!B3</f>
        <v>joy</v>
      </c>
      <c r="C2" s="6" t="n">
        <f aca="false">COUNTIF(V_W_Q6_Zuord,A2)</f>
        <v>41</v>
      </c>
      <c r="D2" s="8"/>
      <c r="E2" s="8"/>
      <c r="F2" s="9"/>
      <c r="G2" s="8"/>
      <c r="H2" s="8"/>
      <c r="I2" s="8"/>
      <c r="J2" s="8"/>
    </row>
    <row r="3" customFormat="false" ht="11.25" hidden="false" customHeight="false" outlineLevel="0" collapsed="false">
      <c r="A3" s="6" t="n">
        <v>3</v>
      </c>
      <c r="B3" s="6" t="str">
        <f aca="false">Codestufen!B4</f>
        <v> happiness</v>
      </c>
      <c r="C3" s="6" t="n">
        <f aca="false">COUNTIF(V_W_Q6_Zuord,A3)</f>
        <v>24</v>
      </c>
      <c r="D3" s="12" t="n">
        <v>4</v>
      </c>
      <c r="E3" s="13" t="s">
        <v>13</v>
      </c>
      <c r="F3" s="13" t="s">
        <v>14</v>
      </c>
      <c r="G3" s="14" t="s">
        <v>15</v>
      </c>
      <c r="H3" s="15" t="s">
        <v>16</v>
      </c>
      <c r="I3" s="15"/>
      <c r="J3" s="16"/>
    </row>
    <row r="4" customFormat="false" ht="8.25" hidden="false" customHeight="true" outlineLevel="0" collapsed="false">
      <c r="A4" s="6" t="n">
        <v>4</v>
      </c>
      <c r="B4" s="6" t="n">
        <f aca="false">Codestufen!B5</f>
        <v>0</v>
      </c>
      <c r="C4" s="6" t="n">
        <f aca="false">COUNTIF(V_W_Q6_Zuord,A4)</f>
        <v>0</v>
      </c>
      <c r="D4" s="17"/>
      <c r="E4" s="17"/>
      <c r="F4" s="17" t="str">
        <f aca="false">"Zuordnungen &lt; "&amp;E5</f>
        <v>Zuordnungen &lt; 1</v>
      </c>
      <c r="G4" s="17" t="n">
        <f aca="false">COUNTIF(V_W_Q6_Zuord,"&lt;"&amp;E5)</f>
        <v>0</v>
      </c>
      <c r="H4" s="16" t="n">
        <f aca="false">COUNTA(V_W_Q6_Datensaetze)/H5</f>
        <v>100</v>
      </c>
      <c r="I4" s="16" t="s">
        <v>17</v>
      </c>
      <c r="J4" s="16"/>
    </row>
    <row r="5" customFormat="false" ht="8.25" hidden="false" customHeight="true" outlineLevel="0" collapsed="false">
      <c r="A5" s="6" t="n">
        <v>5</v>
      </c>
      <c r="B5" s="6" t="str">
        <f aca="false">Codestufen!B6</f>
        <v>&lt;reserved&gt;</v>
      </c>
      <c r="C5" s="6" t="n">
        <f aca="false">COUNTIF(V_W_Q6_Zuord,A5)</f>
        <v>0</v>
      </c>
      <c r="D5" s="18" t="s">
        <v>18</v>
      </c>
      <c r="E5" s="18" t="n">
        <f aca="false">(4-D3)*20+1</f>
        <v>1</v>
      </c>
      <c r="F5" s="19" t="str">
        <f aca="false">HYPERLINK("#Codestufen!"&amp;ADDRESS(E5+1,D$6),IF(INDEX(V_W_Q6_CodestufenName,E5)=0,"",INDEX(V_W_Q6_CodestufenName,E5)))</f>
        <v>love</v>
      </c>
      <c r="G5" s="18" t="n">
        <f aca="false">INDEX(V_W_Q6_Codestufen,E5)</f>
        <v>31</v>
      </c>
      <c r="H5" s="16" t="n">
        <v>1</v>
      </c>
      <c r="I5" s="16" t="s">
        <v>19</v>
      </c>
      <c r="J5" s="16"/>
    </row>
    <row r="6" customFormat="false" ht="8.25" hidden="false" customHeight="true" outlineLevel="0" collapsed="false">
      <c r="A6" s="6" t="n">
        <v>6</v>
      </c>
      <c r="B6" s="6" t="n">
        <f aca="false">Codestufen!B7</f>
        <v>0</v>
      </c>
      <c r="C6" s="6" t="n">
        <f aca="false">COUNTIF(V_W_Q6_Zuord,A6)</f>
        <v>0</v>
      </c>
      <c r="D6" s="18" t="n">
        <v>2</v>
      </c>
      <c r="E6" s="18" t="n">
        <f aca="false">E5+1</f>
        <v>2</v>
      </c>
      <c r="F6" s="19" t="str">
        <f aca="false">HYPERLINK("#Codestufen!"&amp;ADDRESS(E6+1,D$6),IF(INDEX(V_W_Q6_CodestufenName,E6)=0,"",INDEX(V_W_Q6_CodestufenName,E6)))</f>
        <v>joy</v>
      </c>
      <c r="G6" s="18" t="n">
        <f aca="false">INDEX(V_W_Q6_Codestufen,E6)</f>
        <v>41</v>
      </c>
      <c r="H6" s="16" t="n">
        <f aca="false">SUM(V_W_Q6_Verbatims)</f>
        <v>100</v>
      </c>
      <c r="I6" s="16" t="s">
        <v>20</v>
      </c>
      <c r="J6" s="16"/>
    </row>
    <row r="7" customFormat="false" ht="8.25" hidden="false" customHeight="true" outlineLevel="0" collapsed="false">
      <c r="A7" s="6" t="n">
        <v>7</v>
      </c>
      <c r="B7" s="6" t="n">
        <f aca="false">Codestufen!B8</f>
        <v>0</v>
      </c>
      <c r="C7" s="6" t="n">
        <f aca="false">COUNTIF(V_W_Q6_Zuord,A7)</f>
        <v>0</v>
      </c>
      <c r="D7" s="18" t="s">
        <v>17</v>
      </c>
      <c r="E7" s="18" t="n">
        <f aca="false">E6+1</f>
        <v>3</v>
      </c>
      <c r="F7" s="19" t="str">
        <f aca="false">HYPERLINK("#Codestufen!"&amp;ADDRESS(E7+1,D$6),IF(INDEX(V_W_Q6_CodestufenName,E7)=0,"",INDEX(V_W_Q6_CodestufenName,E7)))</f>
        <v> happiness</v>
      </c>
      <c r="G7" s="18" t="n">
        <f aca="false">INDEX(V_W_Q6_Codestufen,E7)</f>
        <v>24</v>
      </c>
      <c r="H7" s="16" t="n">
        <f aca="false">COUNTIF(V_W_Q6_AnzZuord,"&gt;0")</f>
        <v>96</v>
      </c>
      <c r="I7" s="16" t="s">
        <v>21</v>
      </c>
      <c r="J7" s="16"/>
    </row>
    <row r="8" customFormat="false" ht="8.25" hidden="false" customHeight="true" outlineLevel="0" collapsed="false">
      <c r="A8" s="6" t="n">
        <v>8</v>
      </c>
      <c r="B8" s="6" t="n">
        <f aca="false">Codestufen!B9</f>
        <v>0</v>
      </c>
      <c r="C8" s="6" t="n">
        <f aca="false">COUNTIF(V_W_Q6_Zuord,A8)</f>
        <v>0</v>
      </c>
      <c r="D8" s="18" t="str">
        <f aca="false">"D33:D"&amp;D24</f>
        <v>D33:D132</v>
      </c>
      <c r="E8" s="18" t="n">
        <f aca="false">E7+1</f>
        <v>4</v>
      </c>
      <c r="F8" s="19" t="str">
        <f aca="false">HYPERLINK("#Codestufen!"&amp;ADDRESS(E8+1,D$6),IF(INDEX(V_W_Q6_CodestufenName,E8)=0,"",INDEX(V_W_Q6_CodestufenName,E8)))</f>
        <v/>
      </c>
      <c r="G8" s="18" t="n">
        <f aca="false">INDEX(V_W_Q6_Codestufen,E8)</f>
        <v>0</v>
      </c>
      <c r="H8" s="16" t="n">
        <f aca="false">SUM(V_W_Q6_AnzZuord)</f>
        <v>96</v>
      </c>
      <c r="I8" s="16" t="s">
        <v>22</v>
      </c>
      <c r="J8" s="16"/>
    </row>
    <row r="9" customFormat="false" ht="8.25" hidden="false" customHeight="true" outlineLevel="0" collapsed="false">
      <c r="A9" s="6" t="n">
        <v>9</v>
      </c>
      <c r="B9" s="6" t="n">
        <f aca="false">Codestufen!B10</f>
        <v>0</v>
      </c>
      <c r="C9" s="6" t="n">
        <f aca="false">COUNTIF(V_W_Q6_Zuord,A9)</f>
        <v>0</v>
      </c>
      <c r="D9" s="18" t="s">
        <v>20</v>
      </c>
      <c r="E9" s="18" t="n">
        <f aca="false">E8+1</f>
        <v>5</v>
      </c>
      <c r="F9" s="19" t="str">
        <f aca="false">HYPERLINK("#Codestufen!"&amp;ADDRESS(E9+1,D$6),IF(INDEX(V_W_Q6_CodestufenName,E9)=0,"",INDEX(V_W_Q6_CodestufenName,E9)))</f>
        <v>&lt;reserved&gt;</v>
      </c>
      <c r="G9" s="18" t="n">
        <f aca="false">INDEX(V_W_Q6_Codestufen,E9)</f>
        <v>0</v>
      </c>
      <c r="H9" s="16"/>
      <c r="I9" s="16"/>
      <c r="J9" s="16"/>
    </row>
    <row r="10" customFormat="false" ht="8.25" hidden="false" customHeight="true" outlineLevel="0" collapsed="false">
      <c r="A10" s="6" t="n">
        <v>10</v>
      </c>
      <c r="B10" s="6" t="n">
        <f aca="false">Codestufen!B11</f>
        <v>0</v>
      </c>
      <c r="C10" s="6" t="n">
        <f aca="false">COUNTIF(V_W_Q6_Zuord,A10)</f>
        <v>0</v>
      </c>
      <c r="D10" s="18" t="str">
        <f aca="false">"H33:H"&amp;D24</f>
        <v>H33:H132</v>
      </c>
      <c r="E10" s="18" t="n">
        <f aca="false">E9+1</f>
        <v>6</v>
      </c>
      <c r="F10" s="19" t="str">
        <f aca="false">HYPERLINK("#Codestufen!"&amp;ADDRESS(E10+1,D$6),IF(INDEX(V_W_Q6_CodestufenName,E10)=0,"",INDEX(V_W_Q6_CodestufenName,E10)))</f>
        <v/>
      </c>
      <c r="G10" s="18" t="n">
        <f aca="false">INDEX(V_W_Q6_Codestufen,E10)</f>
        <v>0</v>
      </c>
      <c r="H10" s="15" t="s">
        <v>23</v>
      </c>
      <c r="I10" s="16"/>
      <c r="J10" s="16"/>
    </row>
    <row r="11" customFormat="false" ht="8.25" hidden="false" customHeight="true" outlineLevel="0" collapsed="false">
      <c r="A11" s="6" t="n">
        <v>11</v>
      </c>
      <c r="B11" s="6" t="n">
        <f aca="false">Codestufen!B12</f>
        <v>0</v>
      </c>
      <c r="C11" s="6" t="n">
        <f aca="false">COUNTIF(V_W_Q6_Zuord,A11)</f>
        <v>0</v>
      </c>
      <c r="D11" s="18" t="s">
        <v>21</v>
      </c>
      <c r="E11" s="18" t="n">
        <f aca="false">E10+1</f>
        <v>7</v>
      </c>
      <c r="F11" s="19" t="str">
        <f aca="false">HYPERLINK("#Codestufen!"&amp;ADDRESS(E11+1,D$6),IF(INDEX(V_W_Q6_CodestufenName,E11)=0,"",INDEX(V_W_Q6_CodestufenName,E11)))</f>
        <v/>
      </c>
      <c r="G11" s="18" t="n">
        <f aca="false">INDEX(V_W_Q6_Codestufen,E11)</f>
        <v>0</v>
      </c>
      <c r="H11" s="20" t="str">
        <f aca="false">H6-H7&amp;" Verbatims sind noch zuzuordnen"</f>
        <v>4 Verbatims sind noch zuzuordnen</v>
      </c>
      <c r="I11" s="20"/>
      <c r="J11" s="20"/>
    </row>
    <row r="12" customFormat="false" ht="8.25" hidden="false" customHeight="true" outlineLevel="0" collapsed="false">
      <c r="A12" s="6" t="n">
        <v>12</v>
      </c>
      <c r="B12" s="6" t="n">
        <f aca="false">Codestufen!B13</f>
        <v>0</v>
      </c>
      <c r="C12" s="6" t="n">
        <f aca="false">COUNTIF(V_W_Q6_Zuord,A12)</f>
        <v>0</v>
      </c>
      <c r="D12" s="18" t="str">
        <f aca="false">"G33:G"&amp;D24</f>
        <v>G33:G132</v>
      </c>
      <c r="E12" s="18" t="n">
        <f aca="false">E11+1</f>
        <v>8</v>
      </c>
      <c r="F12" s="19" t="str">
        <f aca="false">HYPERLINK("#Codestufen!"&amp;ADDRESS(E12+1,D$6),IF(INDEX(V_W_Q6_CodestufenName,E12)=0,"",INDEX(V_W_Q6_CodestufenName,E12)))</f>
        <v/>
      </c>
      <c r="G12" s="18" t="n">
        <f aca="false">INDEX(V_W_Q6_Codestufen,E12)</f>
        <v>0</v>
      </c>
      <c r="H12" s="20"/>
      <c r="I12" s="20"/>
      <c r="J12" s="20"/>
    </row>
    <row r="13" customFormat="false" ht="8.25" hidden="false" customHeight="true" outlineLevel="0" collapsed="false">
      <c r="A13" s="6" t="n">
        <v>13</v>
      </c>
      <c r="B13" s="6" t="n">
        <f aca="false">Codestufen!B14</f>
        <v>0</v>
      </c>
      <c r="C13" s="6" t="n">
        <f aca="false">COUNTIF(V_W_Q6_Zuord,A13)</f>
        <v>0</v>
      </c>
      <c r="D13" s="18" t="s">
        <v>24</v>
      </c>
      <c r="E13" s="18" t="n">
        <f aca="false">E12+1</f>
        <v>9</v>
      </c>
      <c r="F13" s="19" t="str">
        <f aca="false">HYPERLINK("#Codestufen!"&amp;ADDRESS(E13+1,D$6),IF(INDEX(V_W_Q6_CodestufenName,E13)=0,"",INDEX(V_W_Q6_CodestufenName,E13)))</f>
        <v/>
      </c>
      <c r="G13" s="18" t="n">
        <f aca="false">INDEX(V_W_Q6_Codestufen,E13)</f>
        <v>0</v>
      </c>
      <c r="H13" s="20"/>
      <c r="I13" s="20"/>
      <c r="J13" s="20"/>
    </row>
    <row r="14" customFormat="false" ht="8.25" hidden="false" customHeight="true" outlineLevel="0" collapsed="false">
      <c r="A14" s="6" t="n">
        <v>14</v>
      </c>
      <c r="B14" s="6" t="n">
        <f aca="false">Codestufen!B15</f>
        <v>0</v>
      </c>
      <c r="C14" s="6" t="n">
        <f aca="false">COUNTIF(V_W_Q6_Zuord,A14)</f>
        <v>0</v>
      </c>
      <c r="D14" s="18" t="str">
        <f aca="false">"I33:I"&amp;D24</f>
        <v>I33:I132</v>
      </c>
      <c r="E14" s="18" t="n">
        <f aca="false">E13+1</f>
        <v>10</v>
      </c>
      <c r="F14" s="19" t="str">
        <f aca="false">HYPERLINK("#Codestufen!"&amp;ADDRESS(E14+1,D$6),IF(INDEX(V_W_Q6_CodestufenName,E14)=0,"",INDEX(V_W_Q6_CodestufenName,E14)))</f>
        <v/>
      </c>
      <c r="G14" s="18" t="n">
        <f aca="false">INDEX(V_W_Q6_Codestufen,E14)</f>
        <v>0</v>
      </c>
      <c r="H14" s="20"/>
      <c r="I14" s="20"/>
      <c r="J14" s="20"/>
    </row>
    <row r="15" customFormat="false" ht="8.25" hidden="false" customHeight="true" outlineLevel="0" collapsed="false">
      <c r="A15" s="6" t="n">
        <v>15</v>
      </c>
      <c r="B15" s="6" t="n">
        <f aca="false">Codestufen!B16</f>
        <v>0</v>
      </c>
      <c r="C15" s="6" t="n">
        <f aca="false">COUNTIF(V_W_Q6_Zuord,A15)</f>
        <v>0</v>
      </c>
      <c r="D15" s="18" t="s">
        <v>25</v>
      </c>
      <c r="E15" s="18" t="n">
        <f aca="false">E14+1</f>
        <v>11</v>
      </c>
      <c r="F15" s="19" t="str">
        <f aca="false">HYPERLINK("#Codestufen!"&amp;ADDRESS(E15+1,D$6),IF(INDEX(V_W_Q6_CodestufenName,E15)=0,"",INDEX(V_W_Q6_CodestufenName,E15)))</f>
        <v/>
      </c>
      <c r="G15" s="18" t="n">
        <f aca="false">INDEX(V_W_Q6_Codestufen,E15)</f>
        <v>0</v>
      </c>
    </row>
    <row r="16" customFormat="false" ht="8.25" hidden="false" customHeight="true" outlineLevel="0" collapsed="false">
      <c r="A16" s="6" t="n">
        <v>16</v>
      </c>
      <c r="B16" s="6" t="n">
        <f aca="false">Codestufen!B17</f>
        <v>0</v>
      </c>
      <c r="C16" s="6" t="n">
        <f aca="false">COUNTIF(V_W_Q6_Zuord,A16)</f>
        <v>0</v>
      </c>
      <c r="D16" s="18" t="str">
        <f aca="false">"J33:J"&amp;D24</f>
        <v>J33:J132</v>
      </c>
      <c r="E16" s="18" t="n">
        <f aca="false">E15+1</f>
        <v>12</v>
      </c>
      <c r="F16" s="19" t="str">
        <f aca="false">HYPERLINK("#Codestufen!"&amp;ADDRESS(E16+1,D$6),IF(INDEX(V_W_Q6_CodestufenName,E16)=0,"",INDEX(V_W_Q6_CodestufenName,E16)))</f>
        <v/>
      </c>
      <c r="G16" s="18" t="n">
        <f aca="false">INDEX(V_W_Q6_Codestufen,E16)</f>
        <v>0</v>
      </c>
      <c r="H16" s="15"/>
      <c r="I16" s="21"/>
      <c r="J16" s="21"/>
    </row>
    <row r="17" customFormat="false" ht="8.25" hidden="false" customHeight="true" outlineLevel="0" collapsed="false">
      <c r="A17" s="6" t="n">
        <v>17</v>
      </c>
      <c r="B17" s="6" t="n">
        <f aca="false">Codestufen!B18</f>
        <v>0</v>
      </c>
      <c r="C17" s="6" t="n">
        <f aca="false">COUNTIF(V_W_Q6_Zuord,A17)</f>
        <v>0</v>
      </c>
      <c r="D17" s="18" t="s">
        <v>26</v>
      </c>
      <c r="E17" s="18" t="n">
        <f aca="false">E16+1</f>
        <v>13</v>
      </c>
      <c r="F17" s="19" t="str">
        <f aca="false">HYPERLINK("#Codestufen!"&amp;ADDRESS(E17+1,D$6),IF(INDEX(V_W_Q6_CodestufenName,E17)=0,"",INDEX(V_W_Q6_CodestufenName,E17)))</f>
        <v/>
      </c>
      <c r="G17" s="18" t="n">
        <f aca="false">INDEX(V_W_Q6_Codestufen,E17)</f>
        <v>0</v>
      </c>
      <c r="H17" s="22" t="str">
        <f aca="false">IF(SUM(V_W_Q6_Codestufen)&lt;&gt;SUMIF(V_W_Q6_CodestufenName,"&lt;&gt;0",V_W_Q6_Codestufen),"Es gibt Nennungen, die keinem Code zugeordnet werden können.","")&amp;IF(SUM(V_W_Q6_AnzZuordOVerb)&gt;0,"Es gibt Zuordnungen bei nicht vorhandenen Verbatims.","")</f>
        <v/>
      </c>
      <c r="I17" s="22"/>
      <c r="J17" s="22"/>
    </row>
    <row r="18" customFormat="false" ht="8.25" hidden="false" customHeight="true" outlineLevel="0" collapsed="false">
      <c r="A18" s="6" t="n">
        <v>18</v>
      </c>
      <c r="B18" s="6" t="n">
        <f aca="false">Codestufen!B19</f>
        <v>0</v>
      </c>
      <c r="C18" s="6" t="n">
        <f aca="false">COUNTIF(V_W_Q6_Zuord,A18)</f>
        <v>0</v>
      </c>
      <c r="D18" s="18" t="str">
        <f aca="false">"K33:K"&amp;D24</f>
        <v>K33:K132</v>
      </c>
      <c r="E18" s="18" t="n">
        <f aca="false">E17+1</f>
        <v>14</v>
      </c>
      <c r="F18" s="19" t="str">
        <f aca="false">HYPERLINK("#Codestufen!"&amp;ADDRESS(E18+1,D$6),IF(INDEX(V_W_Q6_CodestufenName,E18)=0,"",INDEX(V_W_Q6_CodestufenName,E18)))</f>
        <v/>
      </c>
      <c r="G18" s="18" t="n">
        <f aca="false">INDEX(V_W_Q6_Codestufen,E18)</f>
        <v>0</v>
      </c>
      <c r="H18" s="22"/>
      <c r="I18" s="22"/>
      <c r="J18" s="22"/>
    </row>
    <row r="19" customFormat="false" ht="8.25" hidden="false" customHeight="true" outlineLevel="0" collapsed="false">
      <c r="A19" s="6" t="n">
        <v>19</v>
      </c>
      <c r="B19" s="6" t="n">
        <f aca="false">Codestufen!B20</f>
        <v>0</v>
      </c>
      <c r="C19" s="6" t="n">
        <f aca="false">COUNTIF(V_W_Q6_Zuord,A19)</f>
        <v>0</v>
      </c>
      <c r="D19" s="18" t="s">
        <v>27</v>
      </c>
      <c r="E19" s="18" t="n">
        <f aca="false">E18+1</f>
        <v>15</v>
      </c>
      <c r="F19" s="19" t="str">
        <f aca="false">HYPERLINK("#Codestufen!"&amp;ADDRESS(E19+1,D$6),IF(INDEX(V_W_Q6_CodestufenName,E19)=0,"",INDEX(V_W_Q6_CodestufenName,E19)))</f>
        <v/>
      </c>
      <c r="G19" s="18" t="n">
        <f aca="false">INDEX(V_W_Q6_Codestufen,E19)</f>
        <v>0</v>
      </c>
      <c r="H19" s="22"/>
      <c r="I19" s="22"/>
      <c r="J19" s="22"/>
    </row>
    <row r="20" customFormat="false" ht="8.25" hidden="false" customHeight="true" outlineLevel="0" collapsed="false">
      <c r="A20" s="6" t="n">
        <v>20</v>
      </c>
      <c r="B20" s="6" t="n">
        <f aca="false">Codestufen!B21</f>
        <v>0</v>
      </c>
      <c r="C20" s="6" t="n">
        <f aca="false">COUNTIF(V_W_Q6_Zuord,A20)</f>
        <v>0</v>
      </c>
      <c r="D20" s="18" t="s">
        <v>28</v>
      </c>
      <c r="E20" s="18" t="n">
        <f aca="false">E19+1</f>
        <v>16</v>
      </c>
      <c r="F20" s="19" t="str">
        <f aca="false">HYPERLINK("#Codestufen!"&amp;ADDRESS(E20+1,D$6),IF(INDEX(V_W_Q6_CodestufenName,E20)=0,"",INDEX(V_W_Q6_CodestufenName,E20)))</f>
        <v/>
      </c>
      <c r="G20" s="18" t="n">
        <f aca="false">INDEX(V_W_Q6_Codestufen,E20)</f>
        <v>0</v>
      </c>
      <c r="H20" s="22"/>
      <c r="I20" s="22"/>
      <c r="J20" s="22"/>
    </row>
    <row r="21" customFormat="false" ht="8.25" hidden="false" customHeight="true" outlineLevel="0" collapsed="false">
      <c r="A21" s="6" t="n">
        <v>21</v>
      </c>
      <c r="B21" s="6" t="n">
        <f aca="false">Codestufen!B22</f>
        <v>0</v>
      </c>
      <c r="C21" s="6" t="n">
        <f aca="false">COUNTIF(V_W_Q6_Zuord,A21)</f>
        <v>0</v>
      </c>
      <c r="D21" s="18" t="s">
        <v>29</v>
      </c>
      <c r="E21" s="18" t="n">
        <f aca="false">E20+1</f>
        <v>17</v>
      </c>
      <c r="F21" s="19" t="str">
        <f aca="false">HYPERLINK("#Codestufen!"&amp;ADDRESS(E21+1,D$6),IF(INDEX(V_W_Q6_CodestufenName,E21)=0,"",INDEX(V_W_Q6_CodestufenName,E21)))</f>
        <v/>
      </c>
      <c r="G21" s="18" t="n">
        <f aca="false">INDEX(V_W_Q6_Codestufen,E21)</f>
        <v>0</v>
      </c>
      <c r="H21" s="22"/>
      <c r="I21" s="22"/>
      <c r="J21" s="22"/>
    </row>
    <row r="22" customFormat="false" ht="8.25" hidden="false" customHeight="true" outlineLevel="0" collapsed="false">
      <c r="A22" s="6" t="n">
        <v>22</v>
      </c>
      <c r="B22" s="6" t="n">
        <f aca="false">Codestufen!B23</f>
        <v>0</v>
      </c>
      <c r="C22" s="6" t="n">
        <f aca="false">COUNTIF(V_W_Q6_Zuord,A22)</f>
        <v>0</v>
      </c>
      <c r="D22" s="18" t="s">
        <v>30</v>
      </c>
      <c r="E22" s="18" t="n">
        <f aca="false">E21+1</f>
        <v>18</v>
      </c>
      <c r="F22" s="19" t="str">
        <f aca="false">HYPERLINK("#Codestufen!"&amp;ADDRESS(E22+1,D$6),IF(INDEX(V_W_Q6_CodestufenName,E22)=0,"",INDEX(V_W_Q6_CodestufenName,E22)))</f>
        <v/>
      </c>
      <c r="G22" s="18" t="n">
        <f aca="false">INDEX(V_W_Q6_Codestufen,E22)</f>
        <v>0</v>
      </c>
      <c r="H22" s="22"/>
      <c r="I22" s="22"/>
      <c r="J22" s="22"/>
    </row>
    <row r="23" customFormat="false" ht="8.25" hidden="false" customHeight="true" outlineLevel="0" collapsed="false">
      <c r="A23" s="6" t="n">
        <v>23</v>
      </c>
      <c r="B23" s="6" t="n">
        <f aca="false">Codestufen!B24</f>
        <v>0</v>
      </c>
      <c r="C23" s="6" t="n">
        <f aca="false">COUNTIF(V_W_Q6_Zuord,A23)</f>
        <v>0</v>
      </c>
      <c r="D23" s="18" t="s">
        <v>31</v>
      </c>
      <c r="E23" s="18" t="n">
        <f aca="false">E22+1</f>
        <v>19</v>
      </c>
      <c r="F23" s="19" t="str">
        <f aca="false">HYPERLINK("#Codestufen!"&amp;ADDRESS(E23+1,D$6),IF(INDEX(V_W_Q6_CodestufenName,E23)=0,"",INDEX(V_W_Q6_CodestufenName,E23)))</f>
        <v/>
      </c>
      <c r="G23" s="18" t="n">
        <f aca="false">INDEX(V_W_Q6_Codestufen,E23)</f>
        <v>0</v>
      </c>
      <c r="H23" s="22"/>
      <c r="I23" s="22"/>
      <c r="J23" s="22"/>
    </row>
    <row r="24" customFormat="false" ht="8.25" hidden="false" customHeight="true" outlineLevel="0" collapsed="false">
      <c r="A24" s="6" t="n">
        <v>24</v>
      </c>
      <c r="B24" s="6" t="n">
        <f aca="false">Codestufen!B25</f>
        <v>0</v>
      </c>
      <c r="C24" s="6" t="n">
        <f aca="false">COUNTIF(V_W_Q6_Zuord,A24)</f>
        <v>0</v>
      </c>
      <c r="D24" s="18" t="n">
        <v>132</v>
      </c>
      <c r="E24" s="18" t="n">
        <f aca="false">E23+1</f>
        <v>20</v>
      </c>
      <c r="F24" s="19" t="str">
        <f aca="false">HYPERLINK("#Codestufen!"&amp;ADDRESS(E24+1,D$6),IF(INDEX(V_W_Q6_CodestufenName,E24)=0,"",INDEX(V_W_Q6_CodestufenName,E24)))</f>
        <v/>
      </c>
      <c r="G24" s="18" t="n">
        <f aca="false">INDEX(V_W_Q6_Codestufen,E24)</f>
        <v>0</v>
      </c>
      <c r="H24" s="22"/>
      <c r="I24" s="22"/>
      <c r="J24" s="22"/>
    </row>
    <row r="25" customFormat="false" ht="8.25" hidden="false" customHeight="true" outlineLevel="0" collapsed="false">
      <c r="A25" s="6" t="n">
        <v>25</v>
      </c>
      <c r="B25" s="6" t="n">
        <f aca="false">Codestufen!B26</f>
        <v>0</v>
      </c>
      <c r="C25" s="6" t="n">
        <f aca="false">COUNTIF(V_W_Q6_Zuord,A25)</f>
        <v>0</v>
      </c>
      <c r="D25" s="17"/>
      <c r="E25" s="17"/>
      <c r="F25" s="17" t="str">
        <f aca="false">"Zuordnungen &gt; " &amp;E24&amp; " und &lt; "&amp;E26</f>
        <v>Zuordnungen &gt; 20 und &lt; 97</v>
      </c>
      <c r="G25" s="17" t="n">
        <f aca="false">COUNTIF(V_W_Q6_Zuord,"&lt;"&amp;E26)-SUM(G4:G24)</f>
        <v>0</v>
      </c>
      <c r="H25" s="22"/>
      <c r="I25" s="22"/>
      <c r="J25" s="22"/>
    </row>
    <row r="26" customFormat="false" ht="8.25" hidden="false" customHeight="true" outlineLevel="0" collapsed="false">
      <c r="A26" s="6" t="n">
        <v>26</v>
      </c>
      <c r="B26" s="6" t="n">
        <f aca="false">Codestufen!B27</f>
        <v>0</v>
      </c>
      <c r="C26" s="6" t="n">
        <f aca="false">COUNTIF(V_W_Q6_Zuord,A26)</f>
        <v>0</v>
      </c>
      <c r="D26" s="23" t="s">
        <v>32</v>
      </c>
      <c r="E26" s="18" t="n">
        <f aca="false">D29</f>
        <v>97</v>
      </c>
      <c r="F26" s="19" t="str">
        <f aca="false">HYPERLINK("#Codestufen!"&amp;ADDRESS(E26+1,D$6),IF(INDEX(V_W_Q6_CodestufenName,E26)=0,"",INDEX(V_W_Q6_CodestufenName,E26)))</f>
        <v>Others</v>
      </c>
      <c r="G26" s="18" t="n">
        <f aca="false">INDEX(V_W_Q6_Codestufen,E26)</f>
        <v>0</v>
      </c>
      <c r="H26" s="22"/>
      <c r="I26" s="22"/>
      <c r="J26" s="22"/>
    </row>
    <row r="27" customFormat="false" ht="8.25" hidden="false" customHeight="true" outlineLevel="0" collapsed="false">
      <c r="A27" s="6" t="n">
        <v>27</v>
      </c>
      <c r="B27" s="6" t="n">
        <f aca="false">Codestufen!B28</f>
        <v>0</v>
      </c>
      <c r="C27" s="6" t="n">
        <f aca="false">COUNTIF(V_W_Q6_Zuord,A27)</f>
        <v>0</v>
      </c>
      <c r="D27" s="24" t="s">
        <v>33</v>
      </c>
      <c r="E27" s="18" t="n">
        <f aca="false">E26+1</f>
        <v>98</v>
      </c>
      <c r="F27" s="19" t="str">
        <f aca="false">HYPERLINK("#Codestufen!"&amp;ADDRESS(E27+1,D$6),IF(INDEX(V_W_Q6_CodestufenName,E27)=0,"",INDEX(V_W_Q6_CodestufenName,E27)))</f>
        <v/>
      </c>
      <c r="G27" s="18" t="n">
        <f aca="false">INDEX(V_W_Q6_Codestufen,E27)</f>
        <v>0</v>
      </c>
      <c r="H27" s="22"/>
      <c r="I27" s="22"/>
      <c r="J27" s="22"/>
    </row>
    <row r="28" customFormat="false" ht="8.25" hidden="false" customHeight="true" outlineLevel="0" collapsed="false">
      <c r="A28" s="6" t="n">
        <v>28</v>
      </c>
      <c r="B28" s="6" t="n">
        <f aca="false">Codestufen!B29</f>
        <v>0</v>
      </c>
      <c r="C28" s="6" t="n">
        <f aca="false">COUNTIF(V_W_Q6_Zuord,A28)</f>
        <v>0</v>
      </c>
      <c r="D28" s="24" t="s">
        <v>34</v>
      </c>
      <c r="E28" s="18" t="n">
        <f aca="false">E27+1</f>
        <v>99</v>
      </c>
      <c r="F28" s="19" t="str">
        <f aca="false">HYPERLINK("#Codestufen!"&amp;ADDRESS(E28+1,D$6),IF(INDEX(V_W_Q6_CodestufenName,E28)=0,"",INDEX(V_W_Q6_CodestufenName,E28)))</f>
        <v>No answer</v>
      </c>
      <c r="G28" s="18" t="n">
        <f aca="false">INDEX(V_W_Q6_Codestufen,E28)</f>
        <v>0</v>
      </c>
      <c r="H28" s="22"/>
      <c r="I28" s="22"/>
      <c r="J28" s="22"/>
    </row>
    <row r="29" customFormat="false" ht="8.25" hidden="false" customHeight="true" outlineLevel="0" collapsed="false">
      <c r="A29" s="6" t="n">
        <v>29</v>
      </c>
      <c r="B29" s="6" t="n">
        <f aca="false">Codestufen!B30</f>
        <v>0</v>
      </c>
      <c r="C29" s="6" t="n">
        <f aca="false">COUNTIF(V_W_Q6_Zuord,A29)</f>
        <v>0</v>
      </c>
      <c r="D29" s="25" t="n">
        <v>97</v>
      </c>
      <c r="E29" s="18" t="n">
        <f aca="false">E28+1</f>
        <v>100</v>
      </c>
      <c r="F29" s="19" t="str">
        <f aca="false">HYPERLINK("#Codestufen!"&amp;ADDRESS(E29+1,D$6),IF(INDEX(V_W_Q6_CodestufenName,E29)=0,"",INDEX(V_W_Q6_CodestufenName,E29)))</f>
        <v/>
      </c>
      <c r="G29" s="18" t="n">
        <f aca="false">INDEX(V_W_Q6_Codestufen,E29)</f>
        <v>0</v>
      </c>
      <c r="H29" s="22"/>
      <c r="I29" s="22"/>
      <c r="J29" s="22"/>
    </row>
    <row r="30" customFormat="false" ht="8.25" hidden="false" customHeight="true" outlineLevel="0" collapsed="false">
      <c r="A30" s="6" t="n">
        <v>30</v>
      </c>
      <c r="B30" s="6" t="n">
        <f aca="false">Codestufen!B31</f>
        <v>0</v>
      </c>
      <c r="C30" s="6" t="n">
        <f aca="false">COUNTIF(V_W_Q6_Zuord,A30)</f>
        <v>0</v>
      </c>
      <c r="D30" s="17"/>
      <c r="E30" s="17"/>
      <c r="F30" s="17" t="str">
        <f aca="false">"Zuordnungen &gt; " &amp;E29</f>
        <v>Zuordnungen &gt; 100</v>
      </c>
      <c r="G30" s="17" t="n">
        <f aca="false">COUNTIF(V_W_Q6_Zuord,"&gt;"&amp;E29)</f>
        <v>0</v>
      </c>
      <c r="H30" s="22"/>
      <c r="I30" s="22"/>
      <c r="J30" s="22"/>
    </row>
    <row r="31" customFormat="false" ht="8.25" hidden="false" customHeight="true" outlineLevel="0" collapsed="false">
      <c r="A31" s="6" t="n">
        <v>31</v>
      </c>
      <c r="B31" s="6" t="n">
        <f aca="false">Codestufen!B32</f>
        <v>0</v>
      </c>
      <c r="C31" s="6" t="n">
        <f aca="false">COUNTIF(V_W_Q6_Zuord,A31)</f>
        <v>0</v>
      </c>
    </row>
    <row r="32" s="26" customFormat="true" ht="33.75" hidden="false" customHeight="false" outlineLevel="0" collapsed="false">
      <c r="A32" s="26" t="n">
        <v>32</v>
      </c>
      <c r="B32" s="6" t="n">
        <f aca="false">Codestufen!B33</f>
        <v>0</v>
      </c>
      <c r="C32" s="6" t="n">
        <f aca="false">COUNTIF(V_W_Q6_Zuord,A32)</f>
        <v>0</v>
      </c>
      <c r="D32" s="27" t="s">
        <v>35</v>
      </c>
      <c r="E32" s="27" t="s">
        <v>36</v>
      </c>
      <c r="F32" s="27" t="s">
        <v>37</v>
      </c>
      <c r="G32" s="27" t="s">
        <v>38</v>
      </c>
      <c r="H32" s="27" t="s">
        <v>39</v>
      </c>
      <c r="I32" s="27" t="s">
        <v>40</v>
      </c>
      <c r="J32" s="27" t="s">
        <v>41</v>
      </c>
      <c r="K32" s="27" t="s">
        <v>42</v>
      </c>
      <c r="L32" s="27" t="s">
        <v>43</v>
      </c>
      <c r="M32" s="27" t="s">
        <v>44</v>
      </c>
      <c r="N32" s="27" t="s">
        <v>45</v>
      </c>
      <c r="O32" s="27" t="s">
        <v>46</v>
      </c>
      <c r="P32" s="27" t="s">
        <v>47</v>
      </c>
      <c r="Q32" s="27" t="s">
        <v>48</v>
      </c>
      <c r="R32" s="27" t="s">
        <v>49</v>
      </c>
      <c r="S32" s="27" t="s">
        <v>50</v>
      </c>
      <c r="T32" s="27" t="s">
        <v>51</v>
      </c>
    </row>
    <row r="33" customFormat="false" ht="11.25" hidden="false" customHeight="false" outlineLevel="0" collapsed="false">
      <c r="A33" s="6" t="n">
        <v>33</v>
      </c>
      <c r="B33" s="6" t="n">
        <f aca="false">Codestufen!B34</f>
        <v>0</v>
      </c>
      <c r="C33" s="6" t="n">
        <f aca="false">COUNTIF(V_W_Q6_Zuord,A33)</f>
        <v>0</v>
      </c>
      <c r="D33" s="28" t="s">
        <v>52</v>
      </c>
      <c r="E33" s="28" t="n">
        <v>7</v>
      </c>
      <c r="F33" s="29" t="s">
        <v>53</v>
      </c>
      <c r="G33" s="30" t="n">
        <v>1</v>
      </c>
      <c r="H33" s="28" t="n">
        <f aca="false">IF(TRIM(F33)="",0,1)</f>
        <v>1</v>
      </c>
      <c r="I33" s="28" t="n">
        <f aca="false">COUNT(G33:G33)</f>
        <v>1</v>
      </c>
      <c r="J33" s="28" t="n">
        <f aca="false">IF(I33 &gt;= H33,0,1)</f>
        <v>0</v>
      </c>
      <c r="K33" s="28" t="n">
        <f aca="false">IF(AND(I33 &gt; 0,H33=0),1,0)</f>
        <v>0</v>
      </c>
      <c r="L33" s="28"/>
      <c r="M33" s="28"/>
      <c r="N33" s="28"/>
      <c r="O33" s="28"/>
      <c r="P33" s="28"/>
      <c r="Q33" s="28"/>
      <c r="R33" s="28"/>
      <c r="S33" s="28"/>
      <c r="T33" s="28"/>
    </row>
    <row r="34" customFormat="false" ht="11.25" hidden="false" customHeight="false" outlineLevel="0" collapsed="false">
      <c r="A34" s="6" t="n">
        <v>34</v>
      </c>
      <c r="B34" s="6" t="n">
        <f aca="false">Codestufen!B35</f>
        <v>0</v>
      </c>
      <c r="C34" s="6" t="n">
        <f aca="false">COUNTIF(V_W_Q6_Zuord,A34)</f>
        <v>0</v>
      </c>
      <c r="D34" s="28" t="s">
        <v>52</v>
      </c>
      <c r="E34" s="28" t="n">
        <v>17</v>
      </c>
      <c r="F34" s="29" t="s">
        <v>53</v>
      </c>
      <c r="G34" s="30" t="n">
        <v>1</v>
      </c>
      <c r="H34" s="28" t="n">
        <f aca="false">IF(TRIM(F34)="",0,1)</f>
        <v>1</v>
      </c>
      <c r="I34" s="28" t="n">
        <f aca="false">COUNT(G34:G34)</f>
        <v>1</v>
      </c>
      <c r="J34" s="28" t="n">
        <f aca="false">IF(I34 &gt;= H34,0,1)</f>
        <v>0</v>
      </c>
      <c r="K34" s="28" t="n">
        <f aca="false">IF(AND(I34 &gt; 0,H34=0),1,0)</f>
        <v>0</v>
      </c>
      <c r="L34" s="28"/>
      <c r="M34" s="28"/>
      <c r="N34" s="28"/>
      <c r="O34" s="28"/>
      <c r="P34" s="28"/>
      <c r="Q34" s="28"/>
      <c r="R34" s="28"/>
      <c r="S34" s="28"/>
      <c r="T34" s="28"/>
    </row>
    <row r="35" customFormat="false" ht="11.25" hidden="false" customHeight="false" outlineLevel="0" collapsed="false">
      <c r="A35" s="6" t="n">
        <v>35</v>
      </c>
      <c r="B35" s="6" t="n">
        <f aca="false">Codestufen!B36</f>
        <v>0</v>
      </c>
      <c r="C35" s="6" t="n">
        <f aca="false">COUNTIF(V_W_Q6_Zuord,A35)</f>
        <v>0</v>
      </c>
      <c r="D35" s="28" t="s">
        <v>52</v>
      </c>
      <c r="E35" s="28" t="n">
        <v>23</v>
      </c>
      <c r="F35" s="29" t="s">
        <v>53</v>
      </c>
      <c r="G35" s="30" t="n">
        <v>1</v>
      </c>
      <c r="H35" s="28" t="n">
        <f aca="false">IF(TRIM(F35)="",0,1)</f>
        <v>1</v>
      </c>
      <c r="I35" s="28" t="n">
        <f aca="false">COUNT(G35:G35)</f>
        <v>1</v>
      </c>
      <c r="J35" s="28" t="n">
        <f aca="false">IF(I35 &gt;= H35,0,1)</f>
        <v>0</v>
      </c>
      <c r="K35" s="28" t="n">
        <f aca="false">IF(AND(I35 &gt; 0,H35=0),1,0)</f>
        <v>0</v>
      </c>
      <c r="L35" s="28"/>
      <c r="M35" s="28"/>
      <c r="N35" s="28"/>
      <c r="O35" s="28"/>
      <c r="P35" s="28"/>
      <c r="Q35" s="28"/>
      <c r="R35" s="28"/>
      <c r="S35" s="28"/>
      <c r="T35" s="28"/>
    </row>
    <row r="36" customFormat="false" ht="11.25" hidden="false" customHeight="false" outlineLevel="0" collapsed="false">
      <c r="A36" s="6" t="n">
        <v>36</v>
      </c>
      <c r="B36" s="6" t="n">
        <f aca="false">Codestufen!B37</f>
        <v>0</v>
      </c>
      <c r="C36" s="6" t="n">
        <f aca="false">COUNTIF(V_W_Q6_Zuord,A36)</f>
        <v>0</v>
      </c>
      <c r="D36" s="28" t="s">
        <v>52</v>
      </c>
      <c r="E36" s="28" t="n">
        <v>51</v>
      </c>
      <c r="F36" s="29" t="s">
        <v>53</v>
      </c>
      <c r="G36" s="30" t="n">
        <v>1</v>
      </c>
      <c r="H36" s="28" t="n">
        <f aca="false">IF(TRIM(F36)="",0,1)</f>
        <v>1</v>
      </c>
      <c r="I36" s="28" t="n">
        <f aca="false">COUNT(G36:G36)</f>
        <v>1</v>
      </c>
      <c r="J36" s="28" t="n">
        <f aca="false">IF(I36 &gt;= H36,0,1)</f>
        <v>0</v>
      </c>
      <c r="K36" s="28" t="n">
        <f aca="false">IF(AND(I36 &gt; 0,H36=0),1,0)</f>
        <v>0</v>
      </c>
      <c r="L36" s="28"/>
      <c r="M36" s="28"/>
      <c r="N36" s="28"/>
      <c r="O36" s="28"/>
      <c r="P36" s="28"/>
      <c r="Q36" s="28"/>
      <c r="R36" s="28"/>
      <c r="S36" s="28"/>
      <c r="T36" s="28"/>
    </row>
    <row r="37" customFormat="false" ht="11.25" hidden="false" customHeight="false" outlineLevel="0" collapsed="false">
      <c r="A37" s="6" t="n">
        <v>37</v>
      </c>
      <c r="B37" s="6" t="n">
        <f aca="false">Codestufen!B38</f>
        <v>0</v>
      </c>
      <c r="C37" s="6" t="n">
        <f aca="false">COUNTIF(V_W_Q6_Zuord,A37)</f>
        <v>0</v>
      </c>
      <c r="D37" s="28" t="s">
        <v>52</v>
      </c>
      <c r="E37" s="28" t="n">
        <v>58</v>
      </c>
      <c r="F37" s="29" t="s">
        <v>53</v>
      </c>
      <c r="G37" s="30" t="n">
        <v>1</v>
      </c>
      <c r="H37" s="28" t="n">
        <f aca="false">IF(TRIM(F37)="",0,1)</f>
        <v>1</v>
      </c>
      <c r="I37" s="28" t="n">
        <f aca="false">COUNT(G37:G37)</f>
        <v>1</v>
      </c>
      <c r="J37" s="28" t="n">
        <f aca="false">IF(I37 &gt;= H37,0,1)</f>
        <v>0</v>
      </c>
      <c r="K37" s="28" t="n">
        <f aca="false">IF(AND(I37 &gt; 0,H37=0),1,0)</f>
        <v>0</v>
      </c>
      <c r="L37" s="28"/>
      <c r="M37" s="28"/>
      <c r="N37" s="28"/>
      <c r="O37" s="28"/>
      <c r="P37" s="28"/>
      <c r="Q37" s="28"/>
      <c r="R37" s="28"/>
      <c r="S37" s="28"/>
      <c r="T37" s="28"/>
    </row>
    <row r="38" customFormat="false" ht="11.25" hidden="false" customHeight="false" outlineLevel="0" collapsed="false">
      <c r="A38" s="6" t="n">
        <v>38</v>
      </c>
      <c r="B38" s="6" t="n">
        <f aca="false">Codestufen!B39</f>
        <v>0</v>
      </c>
      <c r="C38" s="6" t="n">
        <f aca="false">COUNTIF(V_W_Q6_Zuord,A38)</f>
        <v>0</v>
      </c>
      <c r="D38" s="28" t="s">
        <v>52</v>
      </c>
      <c r="E38" s="28" t="n">
        <v>65</v>
      </c>
      <c r="F38" s="29" t="s">
        <v>53</v>
      </c>
      <c r="G38" s="30" t="n">
        <v>1</v>
      </c>
      <c r="H38" s="28" t="n">
        <f aca="false">IF(TRIM(F38)="",0,1)</f>
        <v>1</v>
      </c>
      <c r="I38" s="28" t="n">
        <f aca="false">COUNT(G38:G38)</f>
        <v>1</v>
      </c>
      <c r="J38" s="28" t="n">
        <f aca="false">IF(I38 &gt;= H38,0,1)</f>
        <v>0</v>
      </c>
      <c r="K38" s="28" t="n">
        <f aca="false">IF(AND(I38 &gt; 0,H38=0),1,0)</f>
        <v>0</v>
      </c>
      <c r="L38" s="28"/>
      <c r="M38" s="28"/>
      <c r="N38" s="28"/>
      <c r="O38" s="28"/>
      <c r="P38" s="28"/>
      <c r="Q38" s="28"/>
      <c r="R38" s="28"/>
      <c r="S38" s="28"/>
      <c r="T38" s="28"/>
    </row>
    <row r="39" customFormat="false" ht="11.25" hidden="false" customHeight="false" outlineLevel="0" collapsed="false">
      <c r="A39" s="6" t="n">
        <v>39</v>
      </c>
      <c r="B39" s="6" t="n">
        <f aca="false">Codestufen!B40</f>
        <v>0</v>
      </c>
      <c r="C39" s="6" t="n">
        <f aca="false">COUNTIF(V_W_Q6_Zuord,A39)</f>
        <v>0</v>
      </c>
      <c r="D39" s="28" t="s">
        <v>52</v>
      </c>
      <c r="E39" s="28" t="n">
        <v>67</v>
      </c>
      <c r="F39" s="29" t="s">
        <v>53</v>
      </c>
      <c r="G39" s="30" t="n">
        <v>1</v>
      </c>
      <c r="H39" s="28" t="n">
        <f aca="false">IF(TRIM(F39)="",0,1)</f>
        <v>1</v>
      </c>
      <c r="I39" s="28" t="n">
        <f aca="false">COUNT(G39:G39)</f>
        <v>1</v>
      </c>
      <c r="J39" s="28" t="n">
        <f aca="false">IF(I39 &gt;= H39,0,1)</f>
        <v>0</v>
      </c>
      <c r="K39" s="28" t="n">
        <f aca="false">IF(AND(I39 &gt; 0,H39=0),1,0)</f>
        <v>0</v>
      </c>
      <c r="L39" s="28"/>
      <c r="M39" s="28"/>
      <c r="N39" s="28"/>
      <c r="O39" s="28"/>
      <c r="P39" s="28"/>
      <c r="Q39" s="28"/>
      <c r="R39" s="28"/>
      <c r="S39" s="28"/>
      <c r="T39" s="28"/>
    </row>
    <row r="40" customFormat="false" ht="11.25" hidden="false" customHeight="false" outlineLevel="0" collapsed="false">
      <c r="A40" s="6" t="n">
        <v>40</v>
      </c>
      <c r="B40" s="6" t="n">
        <f aca="false">Codestufen!B41</f>
        <v>0</v>
      </c>
      <c r="C40" s="6" t="n">
        <f aca="false">COUNTIF(V_W_Q6_Zuord,A40)</f>
        <v>0</v>
      </c>
      <c r="D40" s="28" t="s">
        <v>52</v>
      </c>
      <c r="E40" s="28" t="n">
        <v>73</v>
      </c>
      <c r="F40" s="29" t="s">
        <v>53</v>
      </c>
      <c r="G40" s="30" t="n">
        <v>1</v>
      </c>
      <c r="H40" s="28" t="n">
        <f aca="false">IF(TRIM(F40)="",0,1)</f>
        <v>1</v>
      </c>
      <c r="I40" s="28" t="n">
        <f aca="false">COUNT(G40:G40)</f>
        <v>1</v>
      </c>
      <c r="J40" s="28" t="n">
        <f aca="false">IF(I40 &gt;= H40,0,1)</f>
        <v>0</v>
      </c>
      <c r="K40" s="28" t="n">
        <f aca="false">IF(AND(I40 &gt; 0,H40=0),1,0)</f>
        <v>0</v>
      </c>
      <c r="L40" s="28"/>
      <c r="M40" s="28"/>
      <c r="N40" s="28"/>
      <c r="O40" s="28"/>
      <c r="P40" s="28"/>
      <c r="Q40" s="28"/>
      <c r="R40" s="28"/>
      <c r="S40" s="28"/>
      <c r="T40" s="28"/>
    </row>
    <row r="41" customFormat="false" ht="11.25" hidden="false" customHeight="false" outlineLevel="0" collapsed="false">
      <c r="A41" s="6" t="n">
        <v>41</v>
      </c>
      <c r="B41" s="6" t="n">
        <f aca="false">Codestufen!B42</f>
        <v>0</v>
      </c>
      <c r="C41" s="6" t="n">
        <f aca="false">COUNTIF(V_W_Q6_Zuord,A41)</f>
        <v>0</v>
      </c>
      <c r="D41" s="28" t="s">
        <v>52</v>
      </c>
      <c r="E41" s="28" t="n">
        <v>74</v>
      </c>
      <c r="F41" s="29" t="s">
        <v>53</v>
      </c>
      <c r="G41" s="30" t="n">
        <v>1</v>
      </c>
      <c r="H41" s="28" t="n">
        <f aca="false">IF(TRIM(F41)="",0,1)</f>
        <v>1</v>
      </c>
      <c r="I41" s="28" t="n">
        <f aca="false">COUNT(G41:G41)</f>
        <v>1</v>
      </c>
      <c r="J41" s="28" t="n">
        <f aca="false">IF(I41 &gt;= H41,0,1)</f>
        <v>0</v>
      </c>
      <c r="K41" s="28" t="n">
        <f aca="false">IF(AND(I41 &gt; 0,H41=0),1,0)</f>
        <v>0</v>
      </c>
      <c r="L41" s="28"/>
      <c r="M41" s="28"/>
      <c r="N41" s="28"/>
      <c r="O41" s="28"/>
      <c r="P41" s="28"/>
      <c r="Q41" s="28"/>
      <c r="R41" s="28"/>
      <c r="S41" s="28"/>
      <c r="T41" s="28"/>
    </row>
    <row r="42" customFormat="false" ht="11.25" hidden="false" customHeight="false" outlineLevel="0" collapsed="false">
      <c r="A42" s="6" t="n">
        <v>42</v>
      </c>
      <c r="B42" s="6" t="n">
        <f aca="false">Codestufen!B43</f>
        <v>0</v>
      </c>
      <c r="C42" s="6" t="n">
        <f aca="false">COUNTIF(V_W_Q6_Zuord,A42)</f>
        <v>0</v>
      </c>
      <c r="D42" s="28" t="s">
        <v>52</v>
      </c>
      <c r="E42" s="28" t="n">
        <v>91</v>
      </c>
      <c r="F42" s="29" t="s">
        <v>53</v>
      </c>
      <c r="G42" s="30" t="n">
        <v>1</v>
      </c>
      <c r="H42" s="28" t="n">
        <f aca="false">IF(TRIM(F42)="",0,1)</f>
        <v>1</v>
      </c>
      <c r="I42" s="28" t="n">
        <f aca="false">COUNT(G42:G42)</f>
        <v>1</v>
      </c>
      <c r="J42" s="28" t="n">
        <f aca="false">IF(I42 &gt;= H42,0,1)</f>
        <v>0</v>
      </c>
      <c r="K42" s="28" t="n">
        <f aca="false">IF(AND(I42 &gt; 0,H42=0),1,0)</f>
        <v>0</v>
      </c>
      <c r="L42" s="28"/>
      <c r="M42" s="28"/>
      <c r="N42" s="28"/>
      <c r="O42" s="28"/>
      <c r="P42" s="28"/>
      <c r="Q42" s="28"/>
      <c r="R42" s="28"/>
      <c r="S42" s="28"/>
      <c r="T42" s="28"/>
    </row>
    <row r="43" customFormat="false" ht="11.25" hidden="false" customHeight="false" outlineLevel="0" collapsed="false">
      <c r="A43" s="6" t="n">
        <v>43</v>
      </c>
      <c r="B43" s="6" t="n">
        <f aca="false">Codestufen!B44</f>
        <v>0</v>
      </c>
      <c r="C43" s="6" t="n">
        <f aca="false">COUNTIF(V_W_Q6_Zuord,A43)</f>
        <v>0</v>
      </c>
      <c r="D43" s="28" t="s">
        <v>52</v>
      </c>
      <c r="E43" s="28" t="n">
        <v>100</v>
      </c>
      <c r="F43" s="29" t="s">
        <v>53</v>
      </c>
      <c r="G43" s="30" t="n">
        <v>1</v>
      </c>
      <c r="H43" s="28" t="n">
        <f aca="false">IF(TRIM(F43)="",0,1)</f>
        <v>1</v>
      </c>
      <c r="I43" s="28" t="n">
        <f aca="false">COUNT(G43:G43)</f>
        <v>1</v>
      </c>
      <c r="J43" s="28" t="n">
        <f aca="false">IF(I43 &gt;= H43,0,1)</f>
        <v>0</v>
      </c>
      <c r="K43" s="28" t="n">
        <f aca="false">IF(AND(I43 &gt; 0,H43=0),1,0)</f>
        <v>0</v>
      </c>
      <c r="L43" s="28"/>
      <c r="M43" s="28"/>
      <c r="N43" s="28"/>
      <c r="O43" s="28"/>
      <c r="P43" s="28"/>
      <c r="Q43" s="28"/>
      <c r="R43" s="28"/>
      <c r="S43" s="28"/>
      <c r="T43" s="28"/>
    </row>
    <row r="44" customFormat="false" ht="11.25" hidden="false" customHeight="false" outlineLevel="0" collapsed="false">
      <c r="A44" s="6" t="n">
        <v>44</v>
      </c>
      <c r="B44" s="6" t="n">
        <f aca="false">Codestufen!B45</f>
        <v>0</v>
      </c>
      <c r="C44" s="6" t="n">
        <f aca="false">COUNTIF(V_W_Q6_Zuord,A44)</f>
        <v>0</v>
      </c>
      <c r="D44" s="28" t="s">
        <v>52</v>
      </c>
      <c r="E44" s="28" t="n">
        <v>3</v>
      </c>
      <c r="F44" s="29" t="s">
        <v>54</v>
      </c>
      <c r="G44" s="30" t="n">
        <v>2</v>
      </c>
      <c r="H44" s="28" t="n">
        <f aca="false">IF(TRIM(F44)="",0,1)</f>
        <v>1</v>
      </c>
      <c r="I44" s="28" t="n">
        <f aca="false">COUNT(G44:G44)</f>
        <v>1</v>
      </c>
      <c r="J44" s="28" t="n">
        <f aca="false">IF(I44 &gt;= H44,0,1)</f>
        <v>0</v>
      </c>
      <c r="K44" s="28" t="n">
        <f aca="false">IF(AND(I44 &gt; 0,H44=0),1,0)</f>
        <v>0</v>
      </c>
      <c r="L44" s="28"/>
      <c r="M44" s="28"/>
      <c r="N44" s="28"/>
      <c r="O44" s="28"/>
      <c r="P44" s="28"/>
      <c r="Q44" s="28"/>
      <c r="R44" s="28"/>
      <c r="S44" s="28"/>
      <c r="T44" s="28"/>
    </row>
    <row r="45" customFormat="false" ht="11.25" hidden="false" customHeight="false" outlineLevel="0" collapsed="false">
      <c r="A45" s="6" t="n">
        <v>45</v>
      </c>
      <c r="B45" s="6" t="n">
        <f aca="false">Codestufen!B46</f>
        <v>0</v>
      </c>
      <c r="C45" s="6" t="n">
        <f aca="false">COUNTIF(V_W_Q6_Zuord,A45)</f>
        <v>0</v>
      </c>
      <c r="D45" s="28" t="s">
        <v>52</v>
      </c>
      <c r="E45" s="28" t="n">
        <v>13</v>
      </c>
      <c r="F45" s="29" t="s">
        <v>54</v>
      </c>
      <c r="G45" s="30" t="n">
        <v>2</v>
      </c>
      <c r="H45" s="28" t="n">
        <f aca="false">IF(TRIM(F45)="",0,1)</f>
        <v>1</v>
      </c>
      <c r="I45" s="28" t="n">
        <f aca="false">COUNT(G45:G45)</f>
        <v>1</v>
      </c>
      <c r="J45" s="28" t="n">
        <f aca="false">IF(I45 &gt;= H45,0,1)</f>
        <v>0</v>
      </c>
      <c r="K45" s="28" t="n">
        <f aca="false">IF(AND(I45 &gt; 0,H45=0),1,0)</f>
        <v>0</v>
      </c>
      <c r="L45" s="28"/>
      <c r="M45" s="28"/>
      <c r="N45" s="28"/>
      <c r="O45" s="28"/>
      <c r="P45" s="28"/>
      <c r="Q45" s="28"/>
      <c r="R45" s="28"/>
      <c r="S45" s="28"/>
      <c r="T45" s="28"/>
    </row>
    <row r="46" customFormat="false" ht="11.25" hidden="false" customHeight="false" outlineLevel="0" collapsed="false">
      <c r="A46" s="6" t="n">
        <v>46</v>
      </c>
      <c r="B46" s="6" t="n">
        <f aca="false">Codestufen!B47</f>
        <v>0</v>
      </c>
      <c r="C46" s="6" t="n">
        <f aca="false">COUNTIF(V_W_Q6_Zuord,A46)</f>
        <v>0</v>
      </c>
      <c r="D46" s="28" t="s">
        <v>52</v>
      </c>
      <c r="E46" s="28" t="n">
        <v>22</v>
      </c>
      <c r="F46" s="29" t="s">
        <v>54</v>
      </c>
      <c r="G46" s="30" t="n">
        <v>2</v>
      </c>
      <c r="H46" s="28" t="n">
        <f aca="false">IF(TRIM(F46)="",0,1)</f>
        <v>1</v>
      </c>
      <c r="I46" s="28" t="n">
        <f aca="false">COUNT(G46:G46)</f>
        <v>1</v>
      </c>
      <c r="J46" s="28" t="n">
        <f aca="false">IF(I46 &gt;= H46,0,1)</f>
        <v>0</v>
      </c>
      <c r="K46" s="28" t="n">
        <f aca="false">IF(AND(I46 &gt; 0,H46=0),1,0)</f>
        <v>0</v>
      </c>
      <c r="L46" s="28"/>
      <c r="M46" s="28"/>
      <c r="N46" s="28"/>
      <c r="O46" s="28"/>
      <c r="P46" s="28"/>
      <c r="Q46" s="28"/>
      <c r="R46" s="28"/>
      <c r="S46" s="28"/>
      <c r="T46" s="28"/>
    </row>
    <row r="47" customFormat="false" ht="11.25" hidden="false" customHeight="false" outlineLevel="0" collapsed="false">
      <c r="A47" s="6" t="n">
        <v>47</v>
      </c>
      <c r="B47" s="6" t="n">
        <f aca="false">Codestufen!B48</f>
        <v>0</v>
      </c>
      <c r="C47" s="6" t="n">
        <f aca="false">COUNTIF(V_W_Q6_Zuord,A47)</f>
        <v>0</v>
      </c>
      <c r="D47" s="28" t="s">
        <v>52</v>
      </c>
      <c r="E47" s="28" t="n">
        <v>26</v>
      </c>
      <c r="F47" s="29" t="s">
        <v>54</v>
      </c>
      <c r="G47" s="30" t="n">
        <v>2</v>
      </c>
      <c r="H47" s="28" t="n">
        <f aca="false">IF(TRIM(F47)="",0,1)</f>
        <v>1</v>
      </c>
      <c r="I47" s="28" t="n">
        <f aca="false">COUNT(G47:G47)</f>
        <v>1</v>
      </c>
      <c r="J47" s="28" t="n">
        <f aca="false">IF(I47 &gt;= H47,0,1)</f>
        <v>0</v>
      </c>
      <c r="K47" s="28" t="n">
        <f aca="false">IF(AND(I47 &gt; 0,H47=0),1,0)</f>
        <v>0</v>
      </c>
      <c r="L47" s="28"/>
      <c r="M47" s="28"/>
      <c r="N47" s="28"/>
      <c r="O47" s="28"/>
      <c r="P47" s="28"/>
      <c r="Q47" s="28"/>
      <c r="R47" s="28"/>
      <c r="S47" s="28"/>
      <c r="T47" s="28"/>
    </row>
    <row r="48" customFormat="false" ht="11.25" hidden="false" customHeight="false" outlineLevel="0" collapsed="false">
      <c r="A48" s="6" t="n">
        <v>48</v>
      </c>
      <c r="B48" s="6" t="n">
        <f aca="false">Codestufen!B49</f>
        <v>0</v>
      </c>
      <c r="C48" s="6" t="n">
        <f aca="false">COUNTIF(V_W_Q6_Zuord,A48)</f>
        <v>0</v>
      </c>
      <c r="D48" s="28" t="s">
        <v>52</v>
      </c>
      <c r="E48" s="28" t="n">
        <v>35</v>
      </c>
      <c r="F48" s="29" t="s">
        <v>54</v>
      </c>
      <c r="G48" s="30" t="n">
        <v>2</v>
      </c>
      <c r="H48" s="28" t="n">
        <f aca="false">IF(TRIM(F48)="",0,1)</f>
        <v>1</v>
      </c>
      <c r="I48" s="28" t="n">
        <f aca="false">COUNT(G48:G48)</f>
        <v>1</v>
      </c>
      <c r="J48" s="28" t="n">
        <f aca="false">IF(I48 &gt;= H48,0,1)</f>
        <v>0</v>
      </c>
      <c r="K48" s="28" t="n">
        <f aca="false">IF(AND(I48 &gt; 0,H48=0),1,0)</f>
        <v>0</v>
      </c>
      <c r="L48" s="28"/>
      <c r="M48" s="28"/>
      <c r="N48" s="28"/>
      <c r="O48" s="28"/>
      <c r="P48" s="28"/>
      <c r="Q48" s="28"/>
      <c r="R48" s="28"/>
      <c r="S48" s="28"/>
      <c r="T48" s="28"/>
    </row>
    <row r="49" customFormat="false" ht="11.25" hidden="false" customHeight="false" outlineLevel="0" collapsed="false">
      <c r="A49" s="6" t="n">
        <v>49</v>
      </c>
      <c r="B49" s="6" t="n">
        <f aca="false">Codestufen!B50</f>
        <v>0</v>
      </c>
      <c r="C49" s="6" t="n">
        <f aca="false">COUNTIF(V_W_Q6_Zuord,A49)</f>
        <v>0</v>
      </c>
      <c r="D49" s="28" t="s">
        <v>52</v>
      </c>
      <c r="E49" s="28" t="n">
        <v>38</v>
      </c>
      <c r="F49" s="29" t="s">
        <v>54</v>
      </c>
      <c r="G49" s="30" t="n">
        <v>2</v>
      </c>
      <c r="H49" s="28" t="n">
        <f aca="false">IF(TRIM(F49)="",0,1)</f>
        <v>1</v>
      </c>
      <c r="I49" s="28" t="n">
        <f aca="false">COUNT(G49:G49)</f>
        <v>1</v>
      </c>
      <c r="J49" s="28" t="n">
        <f aca="false">IF(I49 &gt;= H49,0,1)</f>
        <v>0</v>
      </c>
      <c r="K49" s="28" t="n">
        <f aca="false">IF(AND(I49 &gt; 0,H49=0),1,0)</f>
        <v>0</v>
      </c>
      <c r="L49" s="28"/>
      <c r="M49" s="28"/>
      <c r="N49" s="28"/>
      <c r="O49" s="28"/>
      <c r="P49" s="28"/>
      <c r="Q49" s="28"/>
      <c r="R49" s="28"/>
      <c r="S49" s="28"/>
      <c r="T49" s="28"/>
    </row>
    <row r="50" customFormat="false" ht="11.25" hidden="false" customHeight="false" outlineLevel="0" collapsed="false">
      <c r="A50" s="6" t="n">
        <v>50</v>
      </c>
      <c r="B50" s="6" t="n">
        <f aca="false">Codestufen!B51</f>
        <v>0</v>
      </c>
      <c r="C50" s="6" t="n">
        <f aca="false">COUNTIF(V_W_Q6_Zuord,A50)</f>
        <v>0</v>
      </c>
      <c r="D50" s="28" t="s">
        <v>52</v>
      </c>
      <c r="E50" s="28" t="n">
        <v>45</v>
      </c>
      <c r="F50" s="29" t="s">
        <v>54</v>
      </c>
      <c r="G50" s="30" t="n">
        <v>2</v>
      </c>
      <c r="H50" s="28" t="n">
        <f aca="false">IF(TRIM(F50)="",0,1)</f>
        <v>1</v>
      </c>
      <c r="I50" s="28" t="n">
        <f aca="false">COUNT(G50:G50)</f>
        <v>1</v>
      </c>
      <c r="J50" s="28" t="n">
        <f aca="false">IF(I50 &gt;= H50,0,1)</f>
        <v>0</v>
      </c>
      <c r="K50" s="28" t="n">
        <f aca="false">IF(AND(I50 &gt; 0,H50=0),1,0)</f>
        <v>0</v>
      </c>
      <c r="L50" s="28"/>
      <c r="M50" s="28"/>
      <c r="N50" s="28"/>
      <c r="O50" s="28"/>
      <c r="P50" s="28"/>
      <c r="Q50" s="28"/>
      <c r="R50" s="28"/>
      <c r="S50" s="28"/>
      <c r="T50" s="28"/>
    </row>
    <row r="51" customFormat="false" ht="11.25" hidden="false" customHeight="false" outlineLevel="0" collapsed="false">
      <c r="A51" s="6" t="n">
        <v>51</v>
      </c>
      <c r="B51" s="6" t="n">
        <f aca="false">Codestufen!B52</f>
        <v>0</v>
      </c>
      <c r="C51" s="6" t="n">
        <f aca="false">COUNTIF(V_W_Q6_Zuord,A51)</f>
        <v>0</v>
      </c>
      <c r="D51" s="28" t="s">
        <v>52</v>
      </c>
      <c r="E51" s="28" t="n">
        <v>47</v>
      </c>
      <c r="F51" s="29" t="s">
        <v>54</v>
      </c>
      <c r="G51" s="30" t="n">
        <v>2</v>
      </c>
      <c r="H51" s="28" t="n">
        <f aca="false">IF(TRIM(F51)="",0,1)</f>
        <v>1</v>
      </c>
      <c r="I51" s="28" t="n">
        <f aca="false">COUNT(G51:G51)</f>
        <v>1</v>
      </c>
      <c r="J51" s="28" t="n">
        <f aca="false">IF(I51 &gt;= H51,0,1)</f>
        <v>0</v>
      </c>
      <c r="K51" s="28" t="n">
        <f aca="false">IF(AND(I51 &gt; 0,H51=0),1,0)</f>
        <v>0</v>
      </c>
      <c r="L51" s="28"/>
      <c r="M51" s="28"/>
      <c r="N51" s="28"/>
      <c r="O51" s="28"/>
      <c r="P51" s="28"/>
      <c r="Q51" s="28"/>
      <c r="R51" s="28"/>
      <c r="S51" s="28"/>
      <c r="T51" s="28"/>
    </row>
    <row r="52" customFormat="false" ht="11.25" hidden="false" customHeight="false" outlineLevel="0" collapsed="false">
      <c r="A52" s="6" t="n">
        <v>52</v>
      </c>
      <c r="B52" s="6" t="n">
        <f aca="false">Codestufen!B53</f>
        <v>0</v>
      </c>
      <c r="C52" s="6" t="n">
        <f aca="false">COUNTIF(V_W_Q6_Zuord,A52)</f>
        <v>0</v>
      </c>
      <c r="D52" s="28" t="s">
        <v>52</v>
      </c>
      <c r="E52" s="28" t="n">
        <v>55</v>
      </c>
      <c r="F52" s="29" t="s">
        <v>54</v>
      </c>
      <c r="G52" s="30" t="n">
        <v>2</v>
      </c>
      <c r="H52" s="28" t="n">
        <f aca="false">IF(TRIM(F52)="",0,1)</f>
        <v>1</v>
      </c>
      <c r="I52" s="28" t="n">
        <f aca="false">COUNT(G52:G52)</f>
        <v>1</v>
      </c>
      <c r="J52" s="28" t="n">
        <f aca="false">IF(I52 &gt;= H52,0,1)</f>
        <v>0</v>
      </c>
      <c r="K52" s="28" t="n">
        <f aca="false">IF(AND(I52 &gt; 0,H52=0),1,0)</f>
        <v>0</v>
      </c>
      <c r="L52" s="28"/>
      <c r="M52" s="28"/>
      <c r="N52" s="28"/>
      <c r="O52" s="28"/>
      <c r="P52" s="28"/>
      <c r="Q52" s="28"/>
      <c r="R52" s="28"/>
      <c r="S52" s="28"/>
      <c r="T52" s="28"/>
    </row>
    <row r="53" customFormat="false" ht="11.25" hidden="false" customHeight="false" outlineLevel="0" collapsed="false">
      <c r="A53" s="6" t="n">
        <v>53</v>
      </c>
      <c r="B53" s="6" t="n">
        <f aca="false">Codestufen!B54</f>
        <v>0</v>
      </c>
      <c r="C53" s="6" t="n">
        <f aca="false">COUNTIF(V_W_Q6_Zuord,A53)</f>
        <v>0</v>
      </c>
      <c r="D53" s="28" t="s">
        <v>52</v>
      </c>
      <c r="E53" s="28" t="n">
        <v>72</v>
      </c>
      <c r="F53" s="29" t="s">
        <v>54</v>
      </c>
      <c r="G53" s="30" t="n">
        <v>2</v>
      </c>
      <c r="H53" s="28" t="n">
        <f aca="false">IF(TRIM(F53)="",0,1)</f>
        <v>1</v>
      </c>
      <c r="I53" s="28" t="n">
        <f aca="false">COUNT(G53:G53)</f>
        <v>1</v>
      </c>
      <c r="J53" s="28" t="n">
        <f aca="false">IF(I53 &gt;= H53,0,1)</f>
        <v>0</v>
      </c>
      <c r="K53" s="28" t="n">
        <f aca="false">IF(AND(I53 &gt; 0,H53=0),1,0)</f>
        <v>0</v>
      </c>
      <c r="L53" s="28"/>
      <c r="M53" s="28"/>
      <c r="N53" s="28"/>
      <c r="O53" s="28"/>
      <c r="P53" s="28"/>
      <c r="Q53" s="28"/>
      <c r="R53" s="28"/>
      <c r="S53" s="28"/>
      <c r="T53" s="28"/>
    </row>
    <row r="54" customFormat="false" ht="11.25" hidden="false" customHeight="false" outlineLevel="0" collapsed="false">
      <c r="A54" s="6" t="n">
        <v>54</v>
      </c>
      <c r="B54" s="6" t="n">
        <f aca="false">Codestufen!B55</f>
        <v>0</v>
      </c>
      <c r="C54" s="6" t="n">
        <f aca="false">COUNTIF(V_W_Q6_Zuord,A54)</f>
        <v>0</v>
      </c>
      <c r="D54" s="28" t="s">
        <v>52</v>
      </c>
      <c r="E54" s="28" t="n">
        <v>78</v>
      </c>
      <c r="F54" s="29" t="s">
        <v>54</v>
      </c>
      <c r="G54" s="30" t="n">
        <v>2</v>
      </c>
      <c r="H54" s="28" t="n">
        <f aca="false">IF(TRIM(F54)="",0,1)</f>
        <v>1</v>
      </c>
      <c r="I54" s="28" t="n">
        <f aca="false">COUNT(G54:G54)</f>
        <v>1</v>
      </c>
      <c r="J54" s="28" t="n">
        <f aca="false">IF(I54 &gt;= H54,0,1)</f>
        <v>0</v>
      </c>
      <c r="K54" s="28" t="n">
        <f aca="false">IF(AND(I54 &gt; 0,H54=0),1,0)</f>
        <v>0</v>
      </c>
      <c r="L54" s="28"/>
      <c r="M54" s="28"/>
      <c r="N54" s="28"/>
      <c r="O54" s="28"/>
      <c r="P54" s="28"/>
      <c r="Q54" s="28"/>
      <c r="R54" s="28"/>
      <c r="S54" s="28"/>
      <c r="T54" s="28"/>
    </row>
    <row r="55" customFormat="false" ht="11.25" hidden="false" customHeight="false" outlineLevel="0" collapsed="false">
      <c r="A55" s="6" t="n">
        <v>55</v>
      </c>
      <c r="B55" s="6" t="n">
        <f aca="false">Codestufen!B56</f>
        <v>0</v>
      </c>
      <c r="C55" s="6" t="n">
        <f aca="false">COUNTIF(V_W_Q6_Zuord,A55)</f>
        <v>0</v>
      </c>
      <c r="D55" s="28" t="s">
        <v>52</v>
      </c>
      <c r="E55" s="28" t="n">
        <v>88</v>
      </c>
      <c r="F55" s="29" t="s">
        <v>54</v>
      </c>
      <c r="G55" s="30" t="n">
        <v>2</v>
      </c>
      <c r="H55" s="28" t="n">
        <f aca="false">IF(TRIM(F55)="",0,1)</f>
        <v>1</v>
      </c>
      <c r="I55" s="28" t="n">
        <f aca="false">COUNT(G55:G55)</f>
        <v>1</v>
      </c>
      <c r="J55" s="28" t="n">
        <f aca="false">IF(I55 &gt;= H55,0,1)</f>
        <v>0</v>
      </c>
      <c r="K55" s="28" t="n">
        <f aca="false">IF(AND(I55 &gt; 0,H55=0),1,0)</f>
        <v>0</v>
      </c>
      <c r="L55" s="28"/>
      <c r="M55" s="28"/>
      <c r="N55" s="28"/>
      <c r="O55" s="28"/>
      <c r="P55" s="28"/>
      <c r="Q55" s="28"/>
      <c r="R55" s="28"/>
      <c r="S55" s="28"/>
      <c r="T55" s="28"/>
    </row>
    <row r="56" customFormat="false" ht="11.25" hidden="false" customHeight="false" outlineLevel="0" collapsed="false">
      <c r="A56" s="6" t="n">
        <v>56</v>
      </c>
      <c r="B56" s="6" t="n">
        <f aca="false">Codestufen!B57</f>
        <v>0</v>
      </c>
      <c r="C56" s="6" t="n">
        <f aca="false">COUNTIF(V_W_Q6_Zuord,A56)</f>
        <v>0</v>
      </c>
      <c r="D56" s="28" t="s">
        <v>52</v>
      </c>
      <c r="E56" s="28" t="n">
        <v>89</v>
      </c>
      <c r="F56" s="29" t="s">
        <v>54</v>
      </c>
      <c r="G56" s="30" t="n">
        <v>2</v>
      </c>
      <c r="H56" s="28" t="n">
        <f aca="false">IF(TRIM(F56)="",0,1)</f>
        <v>1</v>
      </c>
      <c r="I56" s="28" t="n">
        <f aca="false">COUNT(G56:G56)</f>
        <v>1</v>
      </c>
      <c r="J56" s="28" t="n">
        <f aca="false">IF(I56 &gt;= H56,0,1)</f>
        <v>0</v>
      </c>
      <c r="K56" s="28" t="n">
        <f aca="false">IF(AND(I56 &gt; 0,H56=0),1,0)</f>
        <v>0</v>
      </c>
      <c r="L56" s="28"/>
      <c r="M56" s="28"/>
      <c r="N56" s="28"/>
      <c r="O56" s="28"/>
      <c r="P56" s="28"/>
      <c r="Q56" s="28"/>
      <c r="R56" s="28"/>
      <c r="S56" s="28"/>
      <c r="T56" s="28"/>
    </row>
    <row r="57" customFormat="false" ht="11.25" hidden="false" customHeight="false" outlineLevel="0" collapsed="false">
      <c r="A57" s="6" t="n">
        <v>57</v>
      </c>
      <c r="B57" s="6" t="n">
        <f aca="false">Codestufen!B58</f>
        <v>0</v>
      </c>
      <c r="C57" s="6" t="n">
        <f aca="false">COUNTIF(V_W_Q6_Zuord,A57)</f>
        <v>0</v>
      </c>
      <c r="D57" s="28" t="s">
        <v>52</v>
      </c>
      <c r="E57" s="28" t="n">
        <v>97</v>
      </c>
      <c r="F57" s="29" t="s">
        <v>54</v>
      </c>
      <c r="G57" s="30" t="n">
        <v>2</v>
      </c>
      <c r="H57" s="28" t="n">
        <f aca="false">IF(TRIM(F57)="",0,1)</f>
        <v>1</v>
      </c>
      <c r="I57" s="28" t="n">
        <f aca="false">COUNT(G57:G57)</f>
        <v>1</v>
      </c>
      <c r="J57" s="28" t="n">
        <f aca="false">IF(I57 &gt;= H57,0,1)</f>
        <v>0</v>
      </c>
      <c r="K57" s="28" t="n">
        <f aca="false">IF(AND(I57 &gt; 0,H57=0),1,0)</f>
        <v>0</v>
      </c>
      <c r="L57" s="28"/>
      <c r="M57" s="28"/>
      <c r="N57" s="28"/>
      <c r="O57" s="28"/>
      <c r="P57" s="28"/>
      <c r="Q57" s="28"/>
      <c r="R57" s="28"/>
      <c r="S57" s="28"/>
      <c r="T57" s="28"/>
    </row>
    <row r="58" customFormat="false" ht="11.25" hidden="false" customHeight="false" outlineLevel="0" collapsed="false">
      <c r="A58" s="6" t="n">
        <v>58</v>
      </c>
      <c r="B58" s="6" t="n">
        <f aca="false">Codestufen!B59</f>
        <v>0</v>
      </c>
      <c r="C58" s="6" t="n">
        <f aca="false">COUNTIF(V_W_Q6_Zuord,A58)</f>
        <v>0</v>
      </c>
      <c r="D58" s="28" t="s">
        <v>52</v>
      </c>
      <c r="E58" s="28" t="n">
        <v>5</v>
      </c>
      <c r="F58" s="29" t="s">
        <v>55</v>
      </c>
      <c r="G58" s="30" t="n">
        <v>3</v>
      </c>
      <c r="H58" s="28" t="n">
        <f aca="false">IF(TRIM(F58)="",0,1)</f>
        <v>1</v>
      </c>
      <c r="I58" s="28" t="n">
        <f aca="false">COUNT(G58:G58)</f>
        <v>1</v>
      </c>
      <c r="J58" s="28" t="n">
        <f aca="false">IF(I58 &gt;= H58,0,1)</f>
        <v>0</v>
      </c>
      <c r="K58" s="28" t="n">
        <f aca="false">IF(AND(I58 &gt; 0,H58=0),1,0)</f>
        <v>0</v>
      </c>
      <c r="L58" s="28"/>
      <c r="M58" s="28"/>
      <c r="N58" s="28"/>
      <c r="O58" s="28"/>
      <c r="P58" s="28"/>
      <c r="Q58" s="28"/>
      <c r="R58" s="28"/>
      <c r="S58" s="28"/>
      <c r="T58" s="28"/>
    </row>
    <row r="59" customFormat="false" ht="11.25" hidden="false" customHeight="false" outlineLevel="0" collapsed="false">
      <c r="A59" s="6" t="n">
        <v>59</v>
      </c>
      <c r="B59" s="6" t="n">
        <f aca="false">Codestufen!B60</f>
        <v>0</v>
      </c>
      <c r="C59" s="6" t="n">
        <f aca="false">COUNTIF(V_W_Q6_Zuord,A59)</f>
        <v>0</v>
      </c>
      <c r="D59" s="28" t="s">
        <v>52</v>
      </c>
      <c r="E59" s="28" t="n">
        <v>12</v>
      </c>
      <c r="F59" s="29" t="s">
        <v>55</v>
      </c>
      <c r="G59" s="30" t="n">
        <v>3</v>
      </c>
      <c r="H59" s="28" t="n">
        <f aca="false">IF(TRIM(F59)="",0,1)</f>
        <v>1</v>
      </c>
      <c r="I59" s="28" t="n">
        <f aca="false">COUNT(G59:G59)</f>
        <v>1</v>
      </c>
      <c r="J59" s="28" t="n">
        <f aca="false">IF(I59 &gt;= H59,0,1)</f>
        <v>0</v>
      </c>
      <c r="K59" s="28" t="n">
        <f aca="false">IF(AND(I59 &gt; 0,H59=0),1,0)</f>
        <v>0</v>
      </c>
      <c r="L59" s="28"/>
      <c r="M59" s="28"/>
      <c r="N59" s="28"/>
      <c r="O59" s="28"/>
      <c r="P59" s="28"/>
      <c r="Q59" s="28"/>
      <c r="R59" s="28"/>
      <c r="S59" s="28"/>
      <c r="T59" s="28"/>
    </row>
    <row r="60" customFormat="false" ht="11.25" hidden="false" customHeight="false" outlineLevel="0" collapsed="false">
      <c r="A60" s="6" t="n">
        <v>60</v>
      </c>
      <c r="B60" s="6" t="n">
        <f aca="false">Codestufen!B61</f>
        <v>0</v>
      </c>
      <c r="C60" s="6" t="n">
        <f aca="false">COUNTIF(V_W_Q6_Zuord,A60)</f>
        <v>0</v>
      </c>
      <c r="D60" s="28" t="s">
        <v>52</v>
      </c>
      <c r="E60" s="28" t="n">
        <v>14</v>
      </c>
      <c r="F60" s="29" t="s">
        <v>55</v>
      </c>
      <c r="G60" s="30" t="n">
        <v>3</v>
      </c>
      <c r="H60" s="28" t="n">
        <f aca="false">IF(TRIM(F60)="",0,1)</f>
        <v>1</v>
      </c>
      <c r="I60" s="28" t="n">
        <f aca="false">COUNT(G60:G60)</f>
        <v>1</v>
      </c>
      <c r="J60" s="28" t="n">
        <f aca="false">IF(I60 &gt;= H60,0,1)</f>
        <v>0</v>
      </c>
      <c r="K60" s="28" t="n">
        <f aca="false">IF(AND(I60 &gt; 0,H60=0),1,0)</f>
        <v>0</v>
      </c>
      <c r="L60" s="28"/>
      <c r="M60" s="28"/>
      <c r="N60" s="28"/>
      <c r="O60" s="28"/>
      <c r="P60" s="28"/>
      <c r="Q60" s="28"/>
      <c r="R60" s="28"/>
      <c r="S60" s="28"/>
      <c r="T60" s="28"/>
    </row>
    <row r="61" customFormat="false" ht="11.25" hidden="false" customHeight="false" outlineLevel="0" collapsed="false">
      <c r="A61" s="6" t="n">
        <v>61</v>
      </c>
      <c r="B61" s="6" t="n">
        <f aca="false">Codestufen!B62</f>
        <v>0</v>
      </c>
      <c r="C61" s="6" t="n">
        <f aca="false">COUNTIF(V_W_Q6_Zuord,A61)</f>
        <v>0</v>
      </c>
      <c r="D61" s="28" t="s">
        <v>52</v>
      </c>
      <c r="E61" s="28" t="n">
        <v>39</v>
      </c>
      <c r="F61" s="29" t="s">
        <v>55</v>
      </c>
      <c r="G61" s="30" t="n">
        <v>3</v>
      </c>
      <c r="H61" s="28" t="n">
        <f aca="false">IF(TRIM(F61)="",0,1)</f>
        <v>1</v>
      </c>
      <c r="I61" s="28" t="n">
        <f aca="false">COUNT(G61:G61)</f>
        <v>1</v>
      </c>
      <c r="J61" s="28" t="n">
        <f aca="false">IF(I61 &gt;= H61,0,1)</f>
        <v>0</v>
      </c>
      <c r="K61" s="28" t="n">
        <f aca="false">IF(AND(I61 &gt; 0,H61=0),1,0)</f>
        <v>0</v>
      </c>
      <c r="L61" s="28"/>
      <c r="M61" s="28"/>
      <c r="N61" s="28"/>
      <c r="O61" s="28"/>
      <c r="P61" s="28"/>
      <c r="Q61" s="28"/>
      <c r="R61" s="28"/>
      <c r="S61" s="28"/>
      <c r="T61" s="28"/>
    </row>
    <row r="62" customFormat="false" ht="11.25" hidden="false" customHeight="false" outlineLevel="0" collapsed="false">
      <c r="A62" s="6" t="n">
        <v>62</v>
      </c>
      <c r="B62" s="6" t="n">
        <f aca="false">Codestufen!B63</f>
        <v>0</v>
      </c>
      <c r="C62" s="6" t="n">
        <f aca="false">COUNTIF(V_W_Q6_Zuord,A62)</f>
        <v>0</v>
      </c>
      <c r="D62" s="28" t="s">
        <v>52</v>
      </c>
      <c r="E62" s="28" t="n">
        <v>49</v>
      </c>
      <c r="F62" s="29" t="s">
        <v>55</v>
      </c>
      <c r="G62" s="30" t="n">
        <v>3</v>
      </c>
      <c r="H62" s="28" t="n">
        <f aca="false">IF(TRIM(F62)="",0,1)</f>
        <v>1</v>
      </c>
      <c r="I62" s="28" t="n">
        <f aca="false">COUNT(G62:G62)</f>
        <v>1</v>
      </c>
      <c r="J62" s="28" t="n">
        <f aca="false">IF(I62 &gt;= H62,0,1)</f>
        <v>0</v>
      </c>
      <c r="K62" s="28" t="n">
        <f aca="false">IF(AND(I62 &gt; 0,H62=0),1,0)</f>
        <v>0</v>
      </c>
      <c r="L62" s="28"/>
      <c r="M62" s="28"/>
      <c r="N62" s="28"/>
      <c r="O62" s="28"/>
      <c r="P62" s="28"/>
      <c r="Q62" s="28"/>
      <c r="R62" s="28"/>
      <c r="S62" s="28"/>
      <c r="T62" s="28"/>
    </row>
    <row r="63" customFormat="false" ht="11.25" hidden="false" customHeight="false" outlineLevel="0" collapsed="false">
      <c r="A63" s="6" t="n">
        <v>63</v>
      </c>
      <c r="B63" s="6" t="n">
        <f aca="false">Codestufen!B64</f>
        <v>0</v>
      </c>
      <c r="C63" s="6" t="n">
        <f aca="false">COUNTIF(V_W_Q6_Zuord,A63)</f>
        <v>0</v>
      </c>
      <c r="D63" s="28" t="s">
        <v>52</v>
      </c>
      <c r="E63" s="28" t="n">
        <v>62</v>
      </c>
      <c r="F63" s="29" t="s">
        <v>55</v>
      </c>
      <c r="G63" s="30" t="n">
        <v>3</v>
      </c>
      <c r="H63" s="28" t="n">
        <f aca="false">IF(TRIM(F63)="",0,1)</f>
        <v>1</v>
      </c>
      <c r="I63" s="28" t="n">
        <f aca="false">COUNT(G63:G63)</f>
        <v>1</v>
      </c>
      <c r="J63" s="28" t="n">
        <f aca="false">IF(I63 &gt;= H63,0,1)</f>
        <v>0</v>
      </c>
      <c r="K63" s="28" t="n">
        <f aca="false">IF(AND(I63 &gt; 0,H63=0),1,0)</f>
        <v>0</v>
      </c>
      <c r="L63" s="28"/>
      <c r="M63" s="28"/>
      <c r="N63" s="28"/>
      <c r="O63" s="28"/>
      <c r="P63" s="28"/>
      <c r="Q63" s="28"/>
      <c r="R63" s="28"/>
      <c r="S63" s="28"/>
      <c r="T63" s="28"/>
    </row>
    <row r="64" customFormat="false" ht="11.25" hidden="false" customHeight="false" outlineLevel="0" collapsed="false">
      <c r="A64" s="6" t="n">
        <v>64</v>
      </c>
      <c r="B64" s="6" t="n">
        <f aca="false">Codestufen!B65</f>
        <v>0</v>
      </c>
      <c r="C64" s="6" t="n">
        <f aca="false">COUNTIF(V_W_Q6_Zuord,A64)</f>
        <v>0</v>
      </c>
      <c r="D64" s="28" t="s">
        <v>52</v>
      </c>
      <c r="E64" s="28" t="n">
        <v>79</v>
      </c>
      <c r="F64" s="29" t="s">
        <v>55</v>
      </c>
      <c r="G64" s="30" t="n">
        <v>3</v>
      </c>
      <c r="H64" s="28" t="n">
        <f aca="false">IF(TRIM(F64)="",0,1)</f>
        <v>1</v>
      </c>
      <c r="I64" s="28" t="n">
        <f aca="false">COUNT(G64:G64)</f>
        <v>1</v>
      </c>
      <c r="J64" s="28" t="n">
        <f aca="false">IF(I64 &gt;= H64,0,1)</f>
        <v>0</v>
      </c>
      <c r="K64" s="28" t="n">
        <f aca="false">IF(AND(I64 &gt; 0,H64=0),1,0)</f>
        <v>0</v>
      </c>
      <c r="L64" s="28"/>
      <c r="M64" s="28"/>
      <c r="N64" s="28"/>
      <c r="O64" s="28"/>
      <c r="P64" s="28"/>
      <c r="Q64" s="28"/>
      <c r="R64" s="28"/>
      <c r="S64" s="28"/>
      <c r="T64" s="28"/>
    </row>
    <row r="65" customFormat="false" ht="11.25" hidden="false" customHeight="false" outlineLevel="0" collapsed="false">
      <c r="A65" s="6" t="n">
        <v>65</v>
      </c>
      <c r="B65" s="6" t="n">
        <f aca="false">Codestufen!B66</f>
        <v>0</v>
      </c>
      <c r="C65" s="6" t="n">
        <f aca="false">COUNTIF(V_W_Q6_Zuord,A65)</f>
        <v>0</v>
      </c>
      <c r="D65" s="28" t="s">
        <v>52</v>
      </c>
      <c r="E65" s="28" t="n">
        <v>98</v>
      </c>
      <c r="F65" s="29" t="s">
        <v>55</v>
      </c>
      <c r="G65" s="30" t="n">
        <v>3</v>
      </c>
      <c r="H65" s="28" t="n">
        <f aca="false">IF(TRIM(F65)="",0,1)</f>
        <v>1</v>
      </c>
      <c r="I65" s="28" t="n">
        <f aca="false">COUNT(G65:G65)</f>
        <v>1</v>
      </c>
      <c r="J65" s="28" t="n">
        <f aca="false">IF(I65 &gt;= H65,0,1)</f>
        <v>0</v>
      </c>
      <c r="K65" s="28" t="n">
        <f aca="false">IF(AND(I65 &gt; 0,H65=0),1,0)</f>
        <v>0</v>
      </c>
      <c r="L65" s="28"/>
      <c r="M65" s="28"/>
      <c r="N65" s="28"/>
      <c r="O65" s="28"/>
      <c r="P65" s="28"/>
      <c r="Q65" s="28"/>
      <c r="R65" s="28"/>
      <c r="S65" s="28"/>
      <c r="T65" s="28"/>
    </row>
    <row r="66" customFormat="false" ht="11.25" hidden="false" customHeight="false" outlineLevel="0" collapsed="false">
      <c r="A66" s="6" t="n">
        <v>66</v>
      </c>
      <c r="B66" s="6" t="n">
        <f aca="false">Codestufen!B67</f>
        <v>0</v>
      </c>
      <c r="C66" s="6" t="n">
        <f aca="false">COUNTIF(V_W_Q6_Zuord,A66)</f>
        <v>0</v>
      </c>
      <c r="D66" s="28" t="s">
        <v>52</v>
      </c>
      <c r="E66" s="28" t="n">
        <v>8</v>
      </c>
      <c r="F66" s="29" t="s">
        <v>56</v>
      </c>
      <c r="G66" s="30" t="n">
        <v>1</v>
      </c>
      <c r="H66" s="28" t="n">
        <f aca="false">IF(TRIM(F66)="",0,1)</f>
        <v>1</v>
      </c>
      <c r="I66" s="28" t="n">
        <f aca="false">COUNT(G66:G66)</f>
        <v>1</v>
      </c>
      <c r="J66" s="28" t="n">
        <f aca="false">IF(I66 &gt;= H66,0,1)</f>
        <v>0</v>
      </c>
      <c r="K66" s="28" t="n">
        <f aca="false">IF(AND(I66 &gt; 0,H66=0),1,0)</f>
        <v>0</v>
      </c>
      <c r="L66" s="28"/>
      <c r="M66" s="28"/>
      <c r="N66" s="28"/>
      <c r="O66" s="28"/>
      <c r="P66" s="28"/>
      <c r="Q66" s="28"/>
      <c r="R66" s="28"/>
      <c r="S66" s="28"/>
      <c r="T66" s="28"/>
    </row>
    <row r="67" customFormat="false" ht="11.25" hidden="false" customHeight="false" outlineLevel="0" collapsed="false">
      <c r="A67" s="6" t="n">
        <v>67</v>
      </c>
      <c r="B67" s="6" t="n">
        <f aca="false">Codestufen!B68</f>
        <v>0</v>
      </c>
      <c r="C67" s="6" t="n">
        <f aca="false">COUNTIF(V_W_Q6_Zuord,A67)</f>
        <v>0</v>
      </c>
      <c r="D67" s="28" t="s">
        <v>52</v>
      </c>
      <c r="E67" s="28" t="n">
        <v>9</v>
      </c>
      <c r="F67" s="29" t="s">
        <v>56</v>
      </c>
      <c r="G67" s="30" t="n">
        <v>1</v>
      </c>
      <c r="H67" s="28" t="n">
        <f aca="false">IF(TRIM(F67)="",0,1)</f>
        <v>1</v>
      </c>
      <c r="I67" s="28" t="n">
        <f aca="false">COUNT(G67:G67)</f>
        <v>1</v>
      </c>
      <c r="J67" s="28" t="n">
        <f aca="false">IF(I67 &gt;= H67,0,1)</f>
        <v>0</v>
      </c>
      <c r="K67" s="28" t="n">
        <f aca="false">IF(AND(I67 &gt; 0,H67=0),1,0)</f>
        <v>0</v>
      </c>
      <c r="L67" s="28"/>
      <c r="M67" s="28"/>
      <c r="N67" s="28"/>
      <c r="O67" s="28"/>
      <c r="P67" s="28"/>
      <c r="Q67" s="28"/>
      <c r="R67" s="28"/>
      <c r="S67" s="28"/>
      <c r="T67" s="28"/>
    </row>
    <row r="68" customFormat="false" ht="11.25" hidden="false" customHeight="false" outlineLevel="0" collapsed="false">
      <c r="A68" s="6" t="n">
        <v>68</v>
      </c>
      <c r="B68" s="6" t="n">
        <f aca="false">Codestufen!B69</f>
        <v>0</v>
      </c>
      <c r="C68" s="6" t="n">
        <f aca="false">COUNTIF(V_W_Q6_Zuord,A68)</f>
        <v>0</v>
      </c>
      <c r="D68" s="28" t="s">
        <v>52</v>
      </c>
      <c r="E68" s="28" t="n">
        <v>24</v>
      </c>
      <c r="F68" s="29" t="s">
        <v>56</v>
      </c>
      <c r="G68" s="30" t="n">
        <v>1</v>
      </c>
      <c r="H68" s="28" t="n">
        <f aca="false">IF(TRIM(F68)="",0,1)</f>
        <v>1</v>
      </c>
      <c r="I68" s="28" t="n">
        <f aca="false">COUNT(G68:G68)</f>
        <v>1</v>
      </c>
      <c r="J68" s="28" t="n">
        <f aca="false">IF(I68 &gt;= H68,0,1)</f>
        <v>0</v>
      </c>
      <c r="K68" s="28" t="n">
        <f aca="false">IF(AND(I68 &gt; 0,H68=0),1,0)</f>
        <v>0</v>
      </c>
      <c r="L68" s="28"/>
      <c r="M68" s="28"/>
      <c r="N68" s="28"/>
      <c r="O68" s="28"/>
      <c r="P68" s="28"/>
      <c r="Q68" s="28"/>
      <c r="R68" s="28"/>
      <c r="S68" s="28"/>
      <c r="T68" s="28"/>
    </row>
    <row r="69" customFormat="false" ht="11.25" hidden="false" customHeight="false" outlineLevel="0" collapsed="false">
      <c r="A69" s="6" t="n">
        <v>69</v>
      </c>
      <c r="B69" s="6" t="n">
        <f aca="false">Codestufen!B70</f>
        <v>0</v>
      </c>
      <c r="C69" s="6" t="n">
        <f aca="false">COUNTIF(V_W_Q6_Zuord,A69)</f>
        <v>0</v>
      </c>
      <c r="D69" s="28" t="s">
        <v>52</v>
      </c>
      <c r="E69" s="28" t="n">
        <v>30</v>
      </c>
      <c r="F69" s="29" t="s">
        <v>56</v>
      </c>
      <c r="G69" s="30" t="n">
        <v>1</v>
      </c>
      <c r="H69" s="28" t="n">
        <f aca="false">IF(TRIM(F69)="",0,1)</f>
        <v>1</v>
      </c>
      <c r="I69" s="28" t="n">
        <f aca="false">COUNT(G69:G69)</f>
        <v>1</v>
      </c>
      <c r="J69" s="28" t="n">
        <f aca="false">IF(I69 &gt;= H69,0,1)</f>
        <v>0</v>
      </c>
      <c r="K69" s="28" t="n">
        <f aca="false">IF(AND(I69 &gt; 0,H69=0),1,0)</f>
        <v>0</v>
      </c>
      <c r="L69" s="28"/>
      <c r="M69" s="28"/>
      <c r="N69" s="28"/>
      <c r="O69" s="28"/>
      <c r="P69" s="28"/>
      <c r="Q69" s="28"/>
      <c r="R69" s="28"/>
      <c r="S69" s="28"/>
      <c r="T69" s="28"/>
    </row>
    <row r="70" customFormat="false" ht="11.25" hidden="false" customHeight="false" outlineLevel="0" collapsed="false">
      <c r="A70" s="6" t="n">
        <v>70</v>
      </c>
      <c r="B70" s="6" t="n">
        <f aca="false">Codestufen!B71</f>
        <v>0</v>
      </c>
      <c r="C70" s="6" t="n">
        <f aca="false">COUNTIF(V_W_Q6_Zuord,A70)</f>
        <v>0</v>
      </c>
      <c r="D70" s="28" t="s">
        <v>52</v>
      </c>
      <c r="E70" s="28" t="n">
        <v>32</v>
      </c>
      <c r="F70" s="29" t="s">
        <v>56</v>
      </c>
      <c r="G70" s="30" t="n">
        <v>1</v>
      </c>
      <c r="H70" s="28" t="n">
        <f aca="false">IF(TRIM(F70)="",0,1)</f>
        <v>1</v>
      </c>
      <c r="I70" s="28" t="n">
        <f aca="false">COUNT(G70:G70)</f>
        <v>1</v>
      </c>
      <c r="J70" s="28" t="n">
        <f aca="false">IF(I70 &gt;= H70,0,1)</f>
        <v>0</v>
      </c>
      <c r="K70" s="28" t="n">
        <f aca="false">IF(AND(I70 &gt; 0,H70=0),1,0)</f>
        <v>0</v>
      </c>
      <c r="L70" s="28"/>
      <c r="M70" s="28"/>
      <c r="N70" s="28"/>
      <c r="O70" s="28"/>
      <c r="P70" s="28"/>
      <c r="Q70" s="28"/>
      <c r="R70" s="28"/>
      <c r="S70" s="28"/>
      <c r="T70" s="28"/>
    </row>
    <row r="71" customFormat="false" ht="11.25" hidden="false" customHeight="false" outlineLevel="0" collapsed="false">
      <c r="A71" s="6" t="n">
        <v>71</v>
      </c>
      <c r="B71" s="6" t="n">
        <f aca="false">Codestufen!B72</f>
        <v>0</v>
      </c>
      <c r="C71" s="6" t="n">
        <f aca="false">COUNTIF(V_W_Q6_Zuord,A71)</f>
        <v>0</v>
      </c>
      <c r="D71" s="28" t="s">
        <v>52</v>
      </c>
      <c r="E71" s="28" t="n">
        <v>36</v>
      </c>
      <c r="F71" s="29" t="s">
        <v>56</v>
      </c>
      <c r="G71" s="30" t="n">
        <v>1</v>
      </c>
      <c r="H71" s="28" t="n">
        <f aca="false">IF(TRIM(F71)="",0,1)</f>
        <v>1</v>
      </c>
      <c r="I71" s="28" t="n">
        <f aca="false">COUNT(G71:G71)</f>
        <v>1</v>
      </c>
      <c r="J71" s="28" t="n">
        <f aca="false">IF(I71 &gt;= H71,0,1)</f>
        <v>0</v>
      </c>
      <c r="K71" s="28" t="n">
        <f aca="false">IF(AND(I71 &gt; 0,H71=0),1,0)</f>
        <v>0</v>
      </c>
      <c r="L71" s="28"/>
      <c r="M71" s="28"/>
      <c r="N71" s="28"/>
      <c r="O71" s="28"/>
      <c r="P71" s="28"/>
      <c r="Q71" s="28"/>
      <c r="R71" s="28"/>
      <c r="S71" s="28"/>
      <c r="T71" s="28"/>
    </row>
    <row r="72" customFormat="false" ht="11.25" hidden="false" customHeight="false" outlineLevel="0" collapsed="false">
      <c r="A72" s="6" t="n">
        <v>72</v>
      </c>
      <c r="B72" s="6" t="n">
        <f aca="false">Codestufen!B73</f>
        <v>0</v>
      </c>
      <c r="C72" s="6" t="n">
        <f aca="false">COUNTIF(V_W_Q6_Zuord,A72)</f>
        <v>0</v>
      </c>
      <c r="D72" s="28" t="s">
        <v>52</v>
      </c>
      <c r="E72" s="28" t="n">
        <v>53</v>
      </c>
      <c r="F72" s="29" t="s">
        <v>56</v>
      </c>
      <c r="G72" s="30" t="n">
        <v>1</v>
      </c>
      <c r="H72" s="28" t="n">
        <f aca="false">IF(TRIM(F72)="",0,1)</f>
        <v>1</v>
      </c>
      <c r="I72" s="28" t="n">
        <f aca="false">COUNT(G72:G72)</f>
        <v>1</v>
      </c>
      <c r="J72" s="28" t="n">
        <f aca="false">IF(I72 &gt;= H72,0,1)</f>
        <v>0</v>
      </c>
      <c r="K72" s="28" t="n">
        <f aca="false">IF(AND(I72 &gt; 0,H72=0),1,0)</f>
        <v>0</v>
      </c>
      <c r="L72" s="28"/>
      <c r="M72" s="28"/>
      <c r="N72" s="28"/>
      <c r="O72" s="28"/>
      <c r="P72" s="28"/>
      <c r="Q72" s="28"/>
      <c r="R72" s="28"/>
      <c r="S72" s="28"/>
      <c r="T72" s="28"/>
    </row>
    <row r="73" customFormat="false" ht="11.25" hidden="false" customHeight="false" outlineLevel="0" collapsed="false">
      <c r="A73" s="6" t="n">
        <v>73</v>
      </c>
      <c r="B73" s="6" t="n">
        <f aca="false">Codestufen!B74</f>
        <v>0</v>
      </c>
      <c r="C73" s="6" t="n">
        <f aca="false">COUNTIF(V_W_Q6_Zuord,A73)</f>
        <v>0</v>
      </c>
      <c r="D73" s="28" t="s">
        <v>52</v>
      </c>
      <c r="E73" s="28" t="n">
        <v>61</v>
      </c>
      <c r="F73" s="29" t="s">
        <v>56</v>
      </c>
      <c r="G73" s="30" t="n">
        <v>1</v>
      </c>
      <c r="H73" s="28" t="n">
        <f aca="false">IF(TRIM(F73)="",0,1)</f>
        <v>1</v>
      </c>
      <c r="I73" s="28" t="n">
        <f aca="false">COUNT(G73:G73)</f>
        <v>1</v>
      </c>
      <c r="J73" s="28" t="n">
        <f aca="false">IF(I73 &gt;= H73,0,1)</f>
        <v>0</v>
      </c>
      <c r="K73" s="28" t="n">
        <f aca="false">IF(AND(I73 &gt; 0,H73=0),1,0)</f>
        <v>0</v>
      </c>
      <c r="L73" s="28"/>
      <c r="M73" s="28"/>
      <c r="N73" s="28"/>
      <c r="O73" s="28"/>
      <c r="P73" s="28"/>
      <c r="Q73" s="28"/>
      <c r="R73" s="28"/>
      <c r="S73" s="28"/>
      <c r="T73" s="28"/>
    </row>
    <row r="74" customFormat="false" ht="11.25" hidden="false" customHeight="false" outlineLevel="0" collapsed="false">
      <c r="A74" s="6" t="n">
        <v>74</v>
      </c>
      <c r="B74" s="6" t="n">
        <f aca="false">Codestufen!B75</f>
        <v>0</v>
      </c>
      <c r="C74" s="6" t="n">
        <f aca="false">COUNTIF(V_W_Q6_Zuord,A74)</f>
        <v>0</v>
      </c>
      <c r="D74" s="28" t="s">
        <v>52</v>
      </c>
      <c r="E74" s="28" t="n">
        <v>70</v>
      </c>
      <c r="F74" s="29" t="s">
        <v>56</v>
      </c>
      <c r="G74" s="30" t="n">
        <v>1</v>
      </c>
      <c r="H74" s="28" t="n">
        <f aca="false">IF(TRIM(F74)="",0,1)</f>
        <v>1</v>
      </c>
      <c r="I74" s="28" t="n">
        <f aca="false">COUNT(G74:G74)</f>
        <v>1</v>
      </c>
      <c r="J74" s="28" t="n">
        <f aca="false">IF(I74 &gt;= H74,0,1)</f>
        <v>0</v>
      </c>
      <c r="K74" s="28" t="n">
        <f aca="false">IF(AND(I74 &gt; 0,H74=0),1,0)</f>
        <v>0</v>
      </c>
      <c r="L74" s="28"/>
      <c r="M74" s="28"/>
      <c r="N74" s="28"/>
      <c r="O74" s="28"/>
      <c r="P74" s="28"/>
      <c r="Q74" s="28"/>
      <c r="R74" s="28"/>
      <c r="S74" s="28"/>
      <c r="T74" s="28"/>
    </row>
    <row r="75" customFormat="false" ht="11.25" hidden="false" customHeight="false" outlineLevel="0" collapsed="false">
      <c r="A75" s="6" t="n">
        <v>75</v>
      </c>
      <c r="B75" s="6" t="n">
        <f aca="false">Codestufen!B76</f>
        <v>0</v>
      </c>
      <c r="C75" s="6" t="n">
        <f aca="false">COUNTIF(V_W_Q6_Zuord,A75)</f>
        <v>0</v>
      </c>
      <c r="D75" s="28" t="s">
        <v>52</v>
      </c>
      <c r="E75" s="28" t="n">
        <v>4</v>
      </c>
      <c r="F75" s="29" t="s">
        <v>57</v>
      </c>
      <c r="G75" s="30" t="n">
        <v>2</v>
      </c>
      <c r="H75" s="28" t="n">
        <f aca="false">IF(TRIM(F75)="",0,1)</f>
        <v>1</v>
      </c>
      <c r="I75" s="28" t="n">
        <f aca="false">COUNT(G75:G75)</f>
        <v>1</v>
      </c>
      <c r="J75" s="28" t="n">
        <f aca="false">IF(I75 &gt;= H75,0,1)</f>
        <v>0</v>
      </c>
      <c r="K75" s="28" t="n">
        <f aca="false">IF(AND(I75 &gt; 0,H75=0),1,0)</f>
        <v>0</v>
      </c>
      <c r="L75" s="28"/>
      <c r="M75" s="28"/>
      <c r="N75" s="28"/>
      <c r="O75" s="28"/>
      <c r="P75" s="28"/>
      <c r="Q75" s="28"/>
      <c r="R75" s="28"/>
      <c r="S75" s="28"/>
      <c r="T75" s="28"/>
    </row>
    <row r="76" customFormat="false" ht="11.25" hidden="false" customHeight="false" outlineLevel="0" collapsed="false">
      <c r="A76" s="6" t="n">
        <v>76</v>
      </c>
      <c r="B76" s="6" t="n">
        <f aca="false">Codestufen!B77</f>
        <v>0</v>
      </c>
      <c r="C76" s="6" t="n">
        <f aca="false">COUNTIF(V_W_Q6_Zuord,A76)</f>
        <v>0</v>
      </c>
      <c r="D76" s="28" t="s">
        <v>52</v>
      </c>
      <c r="E76" s="28" t="n">
        <v>6</v>
      </c>
      <c r="F76" s="29" t="s">
        <v>57</v>
      </c>
      <c r="G76" s="30" t="n">
        <v>2</v>
      </c>
      <c r="H76" s="28" t="n">
        <f aca="false">IF(TRIM(F76)="",0,1)</f>
        <v>1</v>
      </c>
      <c r="I76" s="28" t="n">
        <f aca="false">COUNT(G76:G76)</f>
        <v>1</v>
      </c>
      <c r="J76" s="28" t="n">
        <f aca="false">IF(I76 &gt;= H76,0,1)</f>
        <v>0</v>
      </c>
      <c r="K76" s="28" t="n">
        <f aca="false">IF(AND(I76 &gt; 0,H76=0),1,0)</f>
        <v>0</v>
      </c>
      <c r="L76" s="28"/>
      <c r="M76" s="28"/>
      <c r="N76" s="28"/>
      <c r="O76" s="28"/>
      <c r="P76" s="28"/>
      <c r="Q76" s="28"/>
      <c r="R76" s="28"/>
      <c r="S76" s="28"/>
      <c r="T76" s="28"/>
    </row>
    <row r="77" customFormat="false" ht="11.25" hidden="false" customHeight="false" outlineLevel="0" collapsed="false">
      <c r="A77" s="6" t="n">
        <v>77</v>
      </c>
      <c r="B77" s="6" t="n">
        <f aca="false">Codestufen!B78</f>
        <v>0</v>
      </c>
      <c r="C77" s="6" t="n">
        <f aca="false">COUNTIF(V_W_Q6_Zuord,A77)</f>
        <v>0</v>
      </c>
      <c r="D77" s="28" t="s">
        <v>52</v>
      </c>
      <c r="E77" s="28" t="n">
        <v>19</v>
      </c>
      <c r="F77" s="29" t="s">
        <v>57</v>
      </c>
      <c r="G77" s="30" t="n">
        <v>2</v>
      </c>
      <c r="H77" s="28" t="n">
        <f aca="false">IF(TRIM(F77)="",0,1)</f>
        <v>1</v>
      </c>
      <c r="I77" s="28" t="n">
        <f aca="false">COUNT(G77:G77)</f>
        <v>1</v>
      </c>
      <c r="J77" s="28" t="n">
        <f aca="false">IF(I77 &gt;= H77,0,1)</f>
        <v>0</v>
      </c>
      <c r="K77" s="28" t="n">
        <f aca="false">IF(AND(I77 &gt; 0,H77=0),1,0)</f>
        <v>0</v>
      </c>
      <c r="L77" s="28"/>
      <c r="M77" s="28"/>
      <c r="N77" s="28"/>
      <c r="O77" s="28"/>
      <c r="P77" s="28"/>
      <c r="Q77" s="28"/>
      <c r="R77" s="28"/>
      <c r="S77" s="28"/>
      <c r="T77" s="28"/>
    </row>
    <row r="78" customFormat="false" ht="11.25" hidden="false" customHeight="false" outlineLevel="0" collapsed="false">
      <c r="A78" s="6" t="n">
        <v>78</v>
      </c>
      <c r="B78" s="6" t="n">
        <f aca="false">Codestufen!B79</f>
        <v>0</v>
      </c>
      <c r="C78" s="6" t="n">
        <f aca="false">COUNTIF(V_W_Q6_Zuord,A78)</f>
        <v>0</v>
      </c>
      <c r="D78" s="28" t="s">
        <v>52</v>
      </c>
      <c r="E78" s="28" t="n">
        <v>25</v>
      </c>
      <c r="F78" s="29" t="s">
        <v>57</v>
      </c>
      <c r="G78" s="30" t="n">
        <v>2</v>
      </c>
      <c r="H78" s="28" t="n">
        <f aca="false">IF(TRIM(F78)="",0,1)</f>
        <v>1</v>
      </c>
      <c r="I78" s="28" t="n">
        <f aca="false">COUNT(G78:G78)</f>
        <v>1</v>
      </c>
      <c r="J78" s="28" t="n">
        <f aca="false">IF(I78 &gt;= H78,0,1)</f>
        <v>0</v>
      </c>
      <c r="K78" s="28" t="n">
        <f aca="false">IF(AND(I78 &gt; 0,H78=0),1,0)</f>
        <v>0</v>
      </c>
      <c r="L78" s="28"/>
      <c r="M78" s="28"/>
      <c r="N78" s="28"/>
      <c r="O78" s="28"/>
      <c r="P78" s="28"/>
      <c r="Q78" s="28"/>
      <c r="R78" s="28"/>
      <c r="S78" s="28"/>
      <c r="T78" s="28"/>
    </row>
    <row r="79" customFormat="false" ht="11.25" hidden="false" customHeight="false" outlineLevel="0" collapsed="false">
      <c r="A79" s="6" t="n">
        <v>79</v>
      </c>
      <c r="B79" s="6" t="n">
        <f aca="false">Codestufen!B80</f>
        <v>0</v>
      </c>
      <c r="C79" s="6" t="n">
        <f aca="false">COUNTIF(V_W_Q6_Zuord,A79)</f>
        <v>0</v>
      </c>
      <c r="D79" s="28" t="s">
        <v>52</v>
      </c>
      <c r="E79" s="28" t="n">
        <v>28</v>
      </c>
      <c r="F79" s="29" t="s">
        <v>57</v>
      </c>
      <c r="G79" s="30" t="n">
        <v>2</v>
      </c>
      <c r="H79" s="28" t="n">
        <f aca="false">IF(TRIM(F79)="",0,1)</f>
        <v>1</v>
      </c>
      <c r="I79" s="28" t="n">
        <f aca="false">COUNT(G79:G79)</f>
        <v>1</v>
      </c>
      <c r="J79" s="28" t="n">
        <f aca="false">IF(I79 &gt;= H79,0,1)</f>
        <v>0</v>
      </c>
      <c r="K79" s="28" t="n">
        <f aca="false">IF(AND(I79 &gt; 0,H79=0),1,0)</f>
        <v>0</v>
      </c>
      <c r="L79" s="28"/>
      <c r="M79" s="28"/>
      <c r="N79" s="28"/>
      <c r="O79" s="28"/>
      <c r="P79" s="28"/>
      <c r="Q79" s="28"/>
      <c r="R79" s="28"/>
      <c r="S79" s="28"/>
      <c r="T79" s="28"/>
    </row>
    <row r="80" customFormat="false" ht="11.25" hidden="false" customHeight="false" outlineLevel="0" collapsed="false">
      <c r="A80" s="6" t="n">
        <v>80</v>
      </c>
      <c r="B80" s="6" t="n">
        <f aca="false">Codestufen!B81</f>
        <v>0</v>
      </c>
      <c r="C80" s="6" t="n">
        <f aca="false">COUNTIF(V_W_Q6_Zuord,A80)</f>
        <v>0</v>
      </c>
      <c r="D80" s="28" t="s">
        <v>52</v>
      </c>
      <c r="E80" s="28" t="n">
        <v>34</v>
      </c>
      <c r="F80" s="29" t="s">
        <v>57</v>
      </c>
      <c r="G80" s="30" t="n">
        <v>2</v>
      </c>
      <c r="H80" s="28" t="n">
        <f aca="false">IF(TRIM(F80)="",0,1)</f>
        <v>1</v>
      </c>
      <c r="I80" s="28" t="n">
        <f aca="false">COUNT(G80:G80)</f>
        <v>1</v>
      </c>
      <c r="J80" s="28" t="n">
        <f aca="false">IF(I80 &gt;= H80,0,1)</f>
        <v>0</v>
      </c>
      <c r="K80" s="28" t="n">
        <f aca="false">IF(AND(I80 &gt; 0,H80=0),1,0)</f>
        <v>0</v>
      </c>
      <c r="L80" s="28"/>
      <c r="M80" s="28"/>
      <c r="N80" s="28"/>
      <c r="O80" s="28"/>
      <c r="P80" s="28"/>
      <c r="Q80" s="28"/>
      <c r="R80" s="28"/>
      <c r="S80" s="28"/>
      <c r="T80" s="28"/>
    </row>
    <row r="81" customFormat="false" ht="11.25" hidden="false" customHeight="false" outlineLevel="0" collapsed="false">
      <c r="A81" s="6" t="n">
        <v>81</v>
      </c>
      <c r="B81" s="6" t="n">
        <f aca="false">Codestufen!B82</f>
        <v>0</v>
      </c>
      <c r="C81" s="6" t="n">
        <f aca="false">COUNTIF(V_W_Q6_Zuord,A81)</f>
        <v>0</v>
      </c>
      <c r="D81" s="28" t="s">
        <v>52</v>
      </c>
      <c r="E81" s="28" t="n">
        <v>44</v>
      </c>
      <c r="F81" s="29" t="s">
        <v>57</v>
      </c>
      <c r="G81" s="30" t="n">
        <v>2</v>
      </c>
      <c r="H81" s="28" t="n">
        <f aca="false">IF(TRIM(F81)="",0,1)</f>
        <v>1</v>
      </c>
      <c r="I81" s="28" t="n">
        <f aca="false">COUNT(G81:G81)</f>
        <v>1</v>
      </c>
      <c r="J81" s="28" t="n">
        <f aca="false">IF(I81 &gt;= H81,0,1)</f>
        <v>0</v>
      </c>
      <c r="K81" s="28" t="n">
        <f aca="false">IF(AND(I81 &gt; 0,H81=0),1,0)</f>
        <v>0</v>
      </c>
      <c r="L81" s="28"/>
      <c r="M81" s="28"/>
      <c r="N81" s="28"/>
      <c r="O81" s="28"/>
      <c r="P81" s="28"/>
      <c r="Q81" s="28"/>
      <c r="R81" s="28"/>
      <c r="S81" s="28"/>
      <c r="T81" s="28"/>
    </row>
    <row r="82" customFormat="false" ht="11.25" hidden="false" customHeight="false" outlineLevel="0" collapsed="false">
      <c r="A82" s="6" t="n">
        <v>82</v>
      </c>
      <c r="B82" s="6" t="n">
        <f aca="false">Codestufen!B83</f>
        <v>0</v>
      </c>
      <c r="C82" s="6" t="n">
        <f aca="false">COUNTIF(V_W_Q6_Zuord,A82)</f>
        <v>0</v>
      </c>
      <c r="D82" s="28" t="s">
        <v>52</v>
      </c>
      <c r="E82" s="28" t="n">
        <v>52</v>
      </c>
      <c r="F82" s="29" t="s">
        <v>57</v>
      </c>
      <c r="G82" s="30" t="n">
        <v>2</v>
      </c>
      <c r="H82" s="28" t="n">
        <f aca="false">IF(TRIM(F82)="",0,1)</f>
        <v>1</v>
      </c>
      <c r="I82" s="28" t="n">
        <f aca="false">COUNT(G82:G82)</f>
        <v>1</v>
      </c>
      <c r="J82" s="28" t="n">
        <f aca="false">IF(I82 &gt;= H82,0,1)</f>
        <v>0</v>
      </c>
      <c r="K82" s="28" t="n">
        <f aca="false">IF(AND(I82 &gt; 0,H82=0),1,0)</f>
        <v>0</v>
      </c>
      <c r="L82" s="28"/>
      <c r="M82" s="28"/>
      <c r="N82" s="28"/>
      <c r="O82" s="28"/>
      <c r="P82" s="28"/>
      <c r="Q82" s="28"/>
      <c r="R82" s="28"/>
      <c r="S82" s="28"/>
      <c r="T82" s="28"/>
    </row>
    <row r="83" customFormat="false" ht="11.25" hidden="false" customHeight="false" outlineLevel="0" collapsed="false">
      <c r="A83" s="6" t="n">
        <v>83</v>
      </c>
      <c r="B83" s="6" t="n">
        <f aca="false">Codestufen!B84</f>
        <v>0</v>
      </c>
      <c r="C83" s="6" t="n">
        <f aca="false">COUNTIF(V_W_Q6_Zuord,A83)</f>
        <v>0</v>
      </c>
      <c r="D83" s="28" t="s">
        <v>52</v>
      </c>
      <c r="E83" s="28" t="n">
        <v>54</v>
      </c>
      <c r="F83" s="29" t="s">
        <v>57</v>
      </c>
      <c r="G83" s="30" t="n">
        <v>2</v>
      </c>
      <c r="H83" s="28" t="n">
        <f aca="false">IF(TRIM(F83)="",0,1)</f>
        <v>1</v>
      </c>
      <c r="I83" s="28" t="n">
        <f aca="false">COUNT(G83:G83)</f>
        <v>1</v>
      </c>
      <c r="J83" s="28" t="n">
        <f aca="false">IF(I83 &gt;= H83,0,1)</f>
        <v>0</v>
      </c>
      <c r="K83" s="28" t="n">
        <f aca="false">IF(AND(I83 &gt; 0,H83=0),1,0)</f>
        <v>0</v>
      </c>
      <c r="L83" s="28"/>
      <c r="M83" s="28"/>
      <c r="N83" s="28"/>
      <c r="O83" s="28"/>
      <c r="P83" s="28"/>
      <c r="Q83" s="28"/>
      <c r="R83" s="28"/>
      <c r="S83" s="28"/>
      <c r="T83" s="28"/>
    </row>
    <row r="84" customFormat="false" ht="11.25" hidden="false" customHeight="false" outlineLevel="0" collapsed="false">
      <c r="A84" s="6" t="n">
        <v>84</v>
      </c>
      <c r="B84" s="6" t="n">
        <f aca="false">Codestufen!B85</f>
        <v>0</v>
      </c>
      <c r="C84" s="6" t="n">
        <f aca="false">COUNTIF(V_W_Q6_Zuord,A84)</f>
        <v>0</v>
      </c>
      <c r="D84" s="28" t="s">
        <v>52</v>
      </c>
      <c r="E84" s="28" t="n">
        <v>56</v>
      </c>
      <c r="F84" s="29" t="s">
        <v>57</v>
      </c>
      <c r="G84" s="30" t="n">
        <v>2</v>
      </c>
      <c r="H84" s="28" t="n">
        <f aca="false">IF(TRIM(F84)="",0,1)</f>
        <v>1</v>
      </c>
      <c r="I84" s="28" t="n">
        <f aca="false">COUNT(G84:G84)</f>
        <v>1</v>
      </c>
      <c r="J84" s="28" t="n">
        <f aca="false">IF(I84 &gt;= H84,0,1)</f>
        <v>0</v>
      </c>
      <c r="K84" s="28" t="n">
        <f aca="false">IF(AND(I84 &gt; 0,H84=0),1,0)</f>
        <v>0</v>
      </c>
      <c r="L84" s="28"/>
      <c r="M84" s="28"/>
      <c r="N84" s="28"/>
      <c r="O84" s="28"/>
      <c r="P84" s="28"/>
      <c r="Q84" s="28"/>
      <c r="R84" s="28"/>
      <c r="S84" s="28"/>
      <c r="T84" s="28"/>
    </row>
    <row r="85" customFormat="false" ht="11.25" hidden="false" customHeight="false" outlineLevel="0" collapsed="false">
      <c r="A85" s="6" t="n">
        <v>85</v>
      </c>
      <c r="B85" s="6" t="n">
        <f aca="false">Codestufen!B86</f>
        <v>0</v>
      </c>
      <c r="C85" s="6" t="n">
        <f aca="false">COUNTIF(V_W_Q6_Zuord,A85)</f>
        <v>0</v>
      </c>
      <c r="D85" s="28" t="s">
        <v>52</v>
      </c>
      <c r="E85" s="28" t="n">
        <v>57</v>
      </c>
      <c r="F85" s="29" t="s">
        <v>57</v>
      </c>
      <c r="G85" s="30" t="n">
        <v>2</v>
      </c>
      <c r="H85" s="28" t="n">
        <f aca="false">IF(TRIM(F85)="",0,1)</f>
        <v>1</v>
      </c>
      <c r="I85" s="28" t="n">
        <f aca="false">COUNT(G85:G85)</f>
        <v>1</v>
      </c>
      <c r="J85" s="28" t="n">
        <f aca="false">IF(I85 &gt;= H85,0,1)</f>
        <v>0</v>
      </c>
      <c r="K85" s="28" t="n">
        <f aca="false">IF(AND(I85 &gt; 0,H85=0),1,0)</f>
        <v>0</v>
      </c>
      <c r="L85" s="28"/>
      <c r="M85" s="28"/>
      <c r="N85" s="28"/>
      <c r="O85" s="28"/>
      <c r="P85" s="28"/>
      <c r="Q85" s="28"/>
      <c r="R85" s="28"/>
      <c r="S85" s="28"/>
      <c r="T85" s="28"/>
    </row>
    <row r="86" customFormat="false" ht="11.25" hidden="false" customHeight="false" outlineLevel="0" collapsed="false">
      <c r="A86" s="6" t="n">
        <v>86</v>
      </c>
      <c r="B86" s="6" t="n">
        <f aca="false">Codestufen!B87</f>
        <v>0</v>
      </c>
      <c r="C86" s="6" t="n">
        <f aca="false">COUNTIF(V_W_Q6_Zuord,A86)</f>
        <v>0</v>
      </c>
      <c r="D86" s="28" t="s">
        <v>52</v>
      </c>
      <c r="E86" s="28" t="n">
        <v>66</v>
      </c>
      <c r="F86" s="29" t="s">
        <v>57</v>
      </c>
      <c r="G86" s="30" t="n">
        <v>2</v>
      </c>
      <c r="H86" s="28" t="n">
        <f aca="false">IF(TRIM(F86)="",0,1)</f>
        <v>1</v>
      </c>
      <c r="I86" s="28" t="n">
        <f aca="false">COUNT(G86:G86)</f>
        <v>1</v>
      </c>
      <c r="J86" s="28" t="n">
        <f aca="false">IF(I86 &gt;= H86,0,1)</f>
        <v>0</v>
      </c>
      <c r="K86" s="28" t="n">
        <f aca="false">IF(AND(I86 &gt; 0,H86=0),1,0)</f>
        <v>0</v>
      </c>
      <c r="L86" s="28"/>
      <c r="M86" s="28"/>
      <c r="N86" s="28"/>
      <c r="O86" s="28"/>
      <c r="P86" s="28"/>
      <c r="Q86" s="28"/>
      <c r="R86" s="28"/>
      <c r="S86" s="28"/>
      <c r="T86" s="28"/>
    </row>
    <row r="87" customFormat="false" ht="11.25" hidden="false" customHeight="false" outlineLevel="0" collapsed="false">
      <c r="A87" s="6" t="n">
        <v>87</v>
      </c>
      <c r="B87" s="6" t="n">
        <f aca="false">Codestufen!B88</f>
        <v>0</v>
      </c>
      <c r="C87" s="6" t="n">
        <f aca="false">COUNTIF(V_W_Q6_Zuord,A87)</f>
        <v>0</v>
      </c>
      <c r="D87" s="28" t="s">
        <v>52</v>
      </c>
      <c r="E87" s="28" t="n">
        <v>71</v>
      </c>
      <c r="F87" s="29" t="s">
        <v>57</v>
      </c>
      <c r="G87" s="30" t="n">
        <v>2</v>
      </c>
      <c r="H87" s="28" t="n">
        <f aca="false">IF(TRIM(F87)="",0,1)</f>
        <v>1</v>
      </c>
      <c r="I87" s="28" t="n">
        <f aca="false">COUNT(G87:G87)</f>
        <v>1</v>
      </c>
      <c r="J87" s="28" t="n">
        <f aca="false">IF(I87 &gt;= H87,0,1)</f>
        <v>0</v>
      </c>
      <c r="K87" s="28" t="n">
        <f aca="false">IF(AND(I87 &gt; 0,H87=0),1,0)</f>
        <v>0</v>
      </c>
      <c r="L87" s="28"/>
      <c r="M87" s="28"/>
      <c r="N87" s="28"/>
      <c r="O87" s="28"/>
      <c r="P87" s="28"/>
      <c r="Q87" s="28"/>
      <c r="R87" s="28"/>
      <c r="S87" s="28"/>
      <c r="T87" s="28"/>
    </row>
    <row r="88" customFormat="false" ht="11.25" hidden="false" customHeight="false" outlineLevel="0" collapsed="false">
      <c r="A88" s="6" t="n">
        <v>88</v>
      </c>
      <c r="B88" s="6" t="n">
        <f aca="false">Codestufen!B89</f>
        <v>0</v>
      </c>
      <c r="C88" s="6" t="n">
        <f aca="false">COUNTIF(V_W_Q6_Zuord,A88)</f>
        <v>0</v>
      </c>
      <c r="D88" s="28" t="s">
        <v>52</v>
      </c>
      <c r="E88" s="28" t="n">
        <v>77</v>
      </c>
      <c r="F88" s="29" t="s">
        <v>57</v>
      </c>
      <c r="G88" s="30" t="n">
        <v>2</v>
      </c>
      <c r="H88" s="28" t="n">
        <f aca="false">IF(TRIM(F88)="",0,1)</f>
        <v>1</v>
      </c>
      <c r="I88" s="28" t="n">
        <f aca="false">COUNT(G88:G88)</f>
        <v>1</v>
      </c>
      <c r="J88" s="28" t="n">
        <f aca="false">IF(I88 &gt;= H88,0,1)</f>
        <v>0</v>
      </c>
      <c r="K88" s="28" t="n">
        <f aca="false">IF(AND(I88 &gt; 0,H88=0),1,0)</f>
        <v>0</v>
      </c>
      <c r="L88" s="28"/>
      <c r="M88" s="28"/>
      <c r="N88" s="28"/>
      <c r="O88" s="28"/>
      <c r="P88" s="28"/>
      <c r="Q88" s="28"/>
      <c r="R88" s="28"/>
      <c r="S88" s="28"/>
      <c r="T88" s="28"/>
    </row>
    <row r="89" customFormat="false" ht="11.25" hidden="false" customHeight="false" outlineLevel="0" collapsed="false">
      <c r="A89" s="6" t="n">
        <v>89</v>
      </c>
      <c r="B89" s="6" t="n">
        <f aca="false">Codestufen!B90</f>
        <v>0</v>
      </c>
      <c r="C89" s="6" t="n">
        <f aca="false">COUNTIF(V_W_Q6_Zuord,A89)</f>
        <v>0</v>
      </c>
      <c r="D89" s="28" t="s">
        <v>52</v>
      </c>
      <c r="E89" s="28" t="n">
        <v>83</v>
      </c>
      <c r="F89" s="29" t="s">
        <v>57</v>
      </c>
      <c r="G89" s="30" t="n">
        <v>2</v>
      </c>
      <c r="H89" s="28" t="n">
        <f aca="false">IF(TRIM(F89)="",0,1)</f>
        <v>1</v>
      </c>
      <c r="I89" s="28" t="n">
        <f aca="false">COUNT(G89:G89)</f>
        <v>1</v>
      </c>
      <c r="J89" s="28" t="n">
        <f aca="false">IF(I89 &gt;= H89,0,1)</f>
        <v>0</v>
      </c>
      <c r="K89" s="28" t="n">
        <f aca="false">IF(AND(I89 &gt; 0,H89=0),1,0)</f>
        <v>0</v>
      </c>
      <c r="L89" s="28"/>
      <c r="M89" s="28"/>
      <c r="N89" s="28"/>
      <c r="O89" s="28"/>
      <c r="P89" s="28"/>
      <c r="Q89" s="28"/>
      <c r="R89" s="28"/>
      <c r="S89" s="28"/>
      <c r="T89" s="28"/>
    </row>
    <row r="90" customFormat="false" ht="11.25" hidden="false" customHeight="false" outlineLevel="0" collapsed="false">
      <c r="A90" s="6" t="n">
        <v>90</v>
      </c>
      <c r="B90" s="6" t="n">
        <f aca="false">Codestufen!B91</f>
        <v>0</v>
      </c>
      <c r="C90" s="6" t="n">
        <f aca="false">COUNTIF(V_W_Q6_Zuord,A90)</f>
        <v>0</v>
      </c>
      <c r="D90" s="28" t="s">
        <v>52</v>
      </c>
      <c r="E90" s="28" t="n">
        <v>85</v>
      </c>
      <c r="F90" s="29" t="s">
        <v>57</v>
      </c>
      <c r="G90" s="30" t="n">
        <v>2</v>
      </c>
      <c r="H90" s="28" t="n">
        <f aca="false">IF(TRIM(F90)="",0,1)</f>
        <v>1</v>
      </c>
      <c r="I90" s="28" t="n">
        <f aca="false">COUNT(G90:G90)</f>
        <v>1</v>
      </c>
      <c r="J90" s="28" t="n">
        <f aca="false">IF(I90 &gt;= H90,0,1)</f>
        <v>0</v>
      </c>
      <c r="K90" s="28" t="n">
        <f aca="false">IF(AND(I90 &gt; 0,H90=0),1,0)</f>
        <v>0</v>
      </c>
      <c r="L90" s="28"/>
      <c r="M90" s="28"/>
      <c r="N90" s="28"/>
      <c r="O90" s="28"/>
      <c r="P90" s="28"/>
      <c r="Q90" s="28"/>
      <c r="R90" s="28"/>
      <c r="S90" s="28"/>
      <c r="T90" s="28"/>
    </row>
    <row r="91" customFormat="false" ht="11.25" hidden="false" customHeight="false" outlineLevel="0" collapsed="false">
      <c r="A91" s="6" t="n">
        <v>91</v>
      </c>
      <c r="B91" s="6" t="n">
        <f aca="false">Codestufen!B92</f>
        <v>0</v>
      </c>
      <c r="C91" s="6" t="n">
        <f aca="false">COUNTIF(V_W_Q6_Zuord,A91)</f>
        <v>0</v>
      </c>
      <c r="D91" s="28" t="s">
        <v>52</v>
      </c>
      <c r="E91" s="28" t="n">
        <v>90</v>
      </c>
      <c r="F91" s="29" t="s">
        <v>57</v>
      </c>
      <c r="G91" s="30" t="n">
        <v>2</v>
      </c>
      <c r="H91" s="28" t="n">
        <f aca="false">IF(TRIM(F91)="",0,1)</f>
        <v>1</v>
      </c>
      <c r="I91" s="28" t="n">
        <f aca="false">COUNT(G91:G91)</f>
        <v>1</v>
      </c>
      <c r="J91" s="28" t="n">
        <f aca="false">IF(I91 &gt;= H91,0,1)</f>
        <v>0</v>
      </c>
      <c r="K91" s="28" t="n">
        <f aca="false">IF(AND(I91 &gt; 0,H91=0),1,0)</f>
        <v>0</v>
      </c>
      <c r="L91" s="28"/>
      <c r="M91" s="28"/>
      <c r="N91" s="28"/>
      <c r="O91" s="28"/>
      <c r="P91" s="28"/>
      <c r="Q91" s="28"/>
      <c r="R91" s="28"/>
      <c r="S91" s="28"/>
      <c r="T91" s="28"/>
    </row>
    <row r="92" customFormat="false" ht="11.25" hidden="false" customHeight="false" outlineLevel="0" collapsed="false">
      <c r="A92" s="6" t="n">
        <v>92</v>
      </c>
      <c r="B92" s="6" t="n">
        <f aca="false">Codestufen!B93</f>
        <v>0</v>
      </c>
      <c r="C92" s="6" t="n">
        <f aca="false">COUNTIF(V_W_Q6_Zuord,A92)</f>
        <v>0</v>
      </c>
      <c r="D92" s="28" t="s">
        <v>52</v>
      </c>
      <c r="E92" s="28" t="n">
        <v>94</v>
      </c>
      <c r="F92" s="29" t="s">
        <v>57</v>
      </c>
      <c r="G92" s="30" t="n">
        <v>2</v>
      </c>
      <c r="H92" s="28" t="n">
        <f aca="false">IF(TRIM(F92)="",0,1)</f>
        <v>1</v>
      </c>
      <c r="I92" s="28" t="n">
        <f aca="false">COUNT(G92:G92)</f>
        <v>1</v>
      </c>
      <c r="J92" s="28" t="n">
        <f aca="false">IF(I92 &gt;= H92,0,1)</f>
        <v>0</v>
      </c>
      <c r="K92" s="28" t="n">
        <f aca="false">IF(AND(I92 &gt; 0,H92=0),1,0)</f>
        <v>0</v>
      </c>
      <c r="L92" s="28"/>
      <c r="M92" s="28"/>
      <c r="N92" s="28"/>
      <c r="O92" s="28"/>
      <c r="P92" s="28"/>
      <c r="Q92" s="28"/>
      <c r="R92" s="28"/>
      <c r="S92" s="28"/>
      <c r="T92" s="28"/>
    </row>
    <row r="93" customFormat="false" ht="11.25" hidden="false" customHeight="false" outlineLevel="0" collapsed="false">
      <c r="A93" s="6" t="n">
        <v>93</v>
      </c>
      <c r="B93" s="6" t="n">
        <f aca="false">Codestufen!B94</f>
        <v>0</v>
      </c>
      <c r="C93" s="6" t="n">
        <f aca="false">COUNTIF(V_W_Q6_Zuord,A93)</f>
        <v>0</v>
      </c>
      <c r="D93" s="28" t="s">
        <v>52</v>
      </c>
      <c r="E93" s="28" t="n">
        <v>96</v>
      </c>
      <c r="F93" s="29" t="s">
        <v>57</v>
      </c>
      <c r="G93" s="30" t="n">
        <v>2</v>
      </c>
      <c r="H93" s="28" t="n">
        <f aca="false">IF(TRIM(F93)="",0,1)</f>
        <v>1</v>
      </c>
      <c r="I93" s="28" t="n">
        <f aca="false">COUNT(G93:G93)</f>
        <v>1</v>
      </c>
      <c r="J93" s="28" t="n">
        <f aca="false">IF(I93 &gt;= H93,0,1)</f>
        <v>0</v>
      </c>
      <c r="K93" s="28" t="n">
        <f aca="false">IF(AND(I93 &gt; 0,H93=0),1,0)</f>
        <v>0</v>
      </c>
      <c r="L93" s="28"/>
      <c r="M93" s="28"/>
      <c r="N93" s="28"/>
      <c r="O93" s="28"/>
      <c r="P93" s="28"/>
      <c r="Q93" s="28"/>
      <c r="R93" s="28"/>
      <c r="S93" s="28"/>
      <c r="T93" s="28"/>
    </row>
    <row r="94" customFormat="false" ht="11.25" hidden="false" customHeight="false" outlineLevel="0" collapsed="false">
      <c r="A94" s="6" t="n">
        <v>94</v>
      </c>
      <c r="B94" s="6" t="n">
        <f aca="false">Codestufen!B95</f>
        <v>0</v>
      </c>
      <c r="C94" s="6" t="n">
        <f aca="false">COUNTIF(V_W_Q6_Zuord,A94)</f>
        <v>0</v>
      </c>
      <c r="D94" s="28" t="s">
        <v>52</v>
      </c>
      <c r="E94" s="28" t="n">
        <v>2</v>
      </c>
      <c r="F94" s="29" t="s">
        <v>58</v>
      </c>
      <c r="G94" s="30" t="n">
        <v>3</v>
      </c>
      <c r="H94" s="28" t="n">
        <f aca="false">IF(TRIM(F94)="",0,1)</f>
        <v>1</v>
      </c>
      <c r="I94" s="28" t="n">
        <f aca="false">COUNT(G94:G94)</f>
        <v>1</v>
      </c>
      <c r="J94" s="28" t="n">
        <f aca="false">IF(I94 &gt;= H94,0,1)</f>
        <v>0</v>
      </c>
      <c r="K94" s="28" t="n">
        <f aca="false">IF(AND(I94 &gt; 0,H94=0),1,0)</f>
        <v>0</v>
      </c>
      <c r="L94" s="28"/>
      <c r="M94" s="28"/>
      <c r="N94" s="28"/>
      <c r="O94" s="28"/>
      <c r="P94" s="28"/>
      <c r="Q94" s="28"/>
      <c r="R94" s="28"/>
      <c r="S94" s="28"/>
      <c r="T94" s="28"/>
    </row>
    <row r="95" customFormat="false" ht="11.25" hidden="false" customHeight="false" outlineLevel="0" collapsed="false">
      <c r="A95" s="6" t="n">
        <v>95</v>
      </c>
      <c r="B95" s="6" t="n">
        <f aca="false">Codestufen!B96</f>
        <v>0</v>
      </c>
      <c r="C95" s="6" t="n">
        <f aca="false">COUNTIF(V_W_Q6_Zuord,A95)</f>
        <v>0</v>
      </c>
      <c r="D95" s="28" t="s">
        <v>52</v>
      </c>
      <c r="E95" s="28" t="n">
        <v>15</v>
      </c>
      <c r="F95" s="29" t="s">
        <v>58</v>
      </c>
      <c r="G95" s="30" t="n">
        <v>3</v>
      </c>
      <c r="H95" s="28" t="n">
        <f aca="false">IF(TRIM(F95)="",0,1)</f>
        <v>1</v>
      </c>
      <c r="I95" s="28" t="n">
        <f aca="false">COUNT(G95:G95)</f>
        <v>1</v>
      </c>
      <c r="J95" s="28" t="n">
        <f aca="false">IF(I95 &gt;= H95,0,1)</f>
        <v>0</v>
      </c>
      <c r="K95" s="28" t="n">
        <f aca="false">IF(AND(I95 &gt; 0,H95=0),1,0)</f>
        <v>0</v>
      </c>
      <c r="L95" s="28"/>
      <c r="M95" s="28"/>
      <c r="N95" s="28"/>
      <c r="O95" s="28"/>
      <c r="P95" s="28"/>
      <c r="Q95" s="28"/>
      <c r="R95" s="28"/>
      <c r="S95" s="28"/>
      <c r="T95" s="28"/>
    </row>
    <row r="96" customFormat="false" ht="11.25" hidden="false" customHeight="false" outlineLevel="0" collapsed="false">
      <c r="A96" s="6" t="n">
        <v>96</v>
      </c>
      <c r="B96" s="6" t="n">
        <f aca="false">Codestufen!B97</f>
        <v>0</v>
      </c>
      <c r="C96" s="6" t="n">
        <f aca="false">COUNTIF(V_W_Q6_Zuord,A96)</f>
        <v>0</v>
      </c>
      <c r="D96" s="28" t="s">
        <v>52</v>
      </c>
      <c r="E96" s="28" t="n">
        <v>21</v>
      </c>
      <c r="F96" s="29" t="s">
        <v>58</v>
      </c>
      <c r="G96" s="30" t="n">
        <v>3</v>
      </c>
      <c r="H96" s="28" t="n">
        <f aca="false">IF(TRIM(F96)="",0,1)</f>
        <v>1</v>
      </c>
      <c r="I96" s="28" t="n">
        <f aca="false">COUNT(G96:G96)</f>
        <v>1</v>
      </c>
      <c r="J96" s="28" t="n">
        <f aca="false">IF(I96 &gt;= H96,0,1)</f>
        <v>0</v>
      </c>
      <c r="K96" s="28" t="n">
        <f aca="false">IF(AND(I96 &gt; 0,H96=0),1,0)</f>
        <v>0</v>
      </c>
      <c r="L96" s="28"/>
      <c r="M96" s="28"/>
      <c r="N96" s="28"/>
      <c r="O96" s="28"/>
      <c r="P96" s="28"/>
      <c r="Q96" s="28"/>
      <c r="R96" s="28"/>
      <c r="S96" s="28"/>
      <c r="T96" s="28"/>
    </row>
    <row r="97" customFormat="false" ht="11.25" hidden="false" customHeight="false" outlineLevel="0" collapsed="false">
      <c r="A97" s="6" t="n">
        <v>97</v>
      </c>
      <c r="B97" s="6" t="str">
        <f aca="false">Codestufen!B98</f>
        <v>Others</v>
      </c>
      <c r="C97" s="6" t="n">
        <f aca="false">COUNTIF(V_W_Q6_Zuord,A97)</f>
        <v>0</v>
      </c>
      <c r="D97" s="28" t="s">
        <v>52</v>
      </c>
      <c r="E97" s="28" t="n">
        <v>27</v>
      </c>
      <c r="F97" s="29" t="s">
        <v>58</v>
      </c>
      <c r="G97" s="30" t="n">
        <v>3</v>
      </c>
      <c r="H97" s="28" t="n">
        <f aca="false">IF(TRIM(F97)="",0,1)</f>
        <v>1</v>
      </c>
      <c r="I97" s="28" t="n">
        <f aca="false">COUNT(G97:G97)</f>
        <v>1</v>
      </c>
      <c r="J97" s="28" t="n">
        <f aca="false">IF(I97 &gt;= H97,0,1)</f>
        <v>0</v>
      </c>
      <c r="K97" s="28" t="n">
        <f aca="false">IF(AND(I97 &gt; 0,H97=0),1,0)</f>
        <v>0</v>
      </c>
      <c r="L97" s="28"/>
      <c r="M97" s="28"/>
      <c r="N97" s="28"/>
      <c r="O97" s="28"/>
      <c r="P97" s="28"/>
      <c r="Q97" s="28"/>
      <c r="R97" s="28"/>
      <c r="S97" s="28"/>
      <c r="T97" s="28"/>
    </row>
    <row r="98" customFormat="false" ht="11.25" hidden="false" customHeight="false" outlineLevel="0" collapsed="false">
      <c r="A98" s="6" t="n">
        <v>98</v>
      </c>
      <c r="B98" s="6" t="n">
        <f aca="false">Codestufen!B99</f>
        <v>0</v>
      </c>
      <c r="C98" s="6" t="n">
        <f aca="false">COUNTIF(V_W_Q6_Zuord,A98)</f>
        <v>0</v>
      </c>
      <c r="D98" s="28" t="s">
        <v>52</v>
      </c>
      <c r="E98" s="28" t="n">
        <v>37</v>
      </c>
      <c r="F98" s="29" t="s">
        <v>58</v>
      </c>
      <c r="G98" s="30" t="n">
        <v>3</v>
      </c>
      <c r="H98" s="28" t="n">
        <f aca="false">IF(TRIM(F98)="",0,1)</f>
        <v>1</v>
      </c>
      <c r="I98" s="28" t="n">
        <f aca="false">COUNT(G98:G98)</f>
        <v>1</v>
      </c>
      <c r="J98" s="28" t="n">
        <f aca="false">IF(I98 &gt;= H98,0,1)</f>
        <v>0</v>
      </c>
      <c r="K98" s="28" t="n">
        <f aca="false">IF(AND(I98 &gt; 0,H98=0),1,0)</f>
        <v>0</v>
      </c>
      <c r="L98" s="28"/>
      <c r="M98" s="28"/>
      <c r="N98" s="28"/>
      <c r="O98" s="28"/>
      <c r="P98" s="28"/>
      <c r="Q98" s="28"/>
      <c r="R98" s="28"/>
      <c r="S98" s="28"/>
      <c r="T98" s="28"/>
    </row>
    <row r="99" customFormat="false" ht="11.25" hidden="false" customHeight="false" outlineLevel="0" collapsed="false">
      <c r="A99" s="6" t="n">
        <v>99</v>
      </c>
      <c r="B99" s="6" t="str">
        <f aca="false">Codestufen!B100</f>
        <v>No answer</v>
      </c>
      <c r="C99" s="6" t="n">
        <f aca="false">COUNTIF(V_W_Q6_Zuord,A99)</f>
        <v>0</v>
      </c>
      <c r="D99" s="28" t="s">
        <v>52</v>
      </c>
      <c r="E99" s="28" t="n">
        <v>40</v>
      </c>
      <c r="F99" s="29" t="s">
        <v>58</v>
      </c>
      <c r="G99" s="30" t="n">
        <v>3</v>
      </c>
      <c r="H99" s="28" t="n">
        <f aca="false">IF(TRIM(F99)="",0,1)</f>
        <v>1</v>
      </c>
      <c r="I99" s="28" t="n">
        <f aca="false">COUNT(G99:G99)</f>
        <v>1</v>
      </c>
      <c r="J99" s="28" t="n">
        <f aca="false">IF(I99 &gt;= H99,0,1)</f>
        <v>0</v>
      </c>
      <c r="K99" s="28" t="n">
        <f aca="false">IF(AND(I99 &gt; 0,H99=0),1,0)</f>
        <v>0</v>
      </c>
      <c r="L99" s="28"/>
      <c r="M99" s="28"/>
      <c r="N99" s="28"/>
      <c r="O99" s="28"/>
      <c r="P99" s="28"/>
      <c r="Q99" s="28"/>
      <c r="R99" s="28"/>
      <c r="S99" s="28"/>
      <c r="T99" s="28"/>
    </row>
    <row r="100" customFormat="false" ht="11.25" hidden="false" customHeight="false" outlineLevel="0" collapsed="false">
      <c r="A100" s="6" t="n">
        <v>100</v>
      </c>
      <c r="B100" s="6" t="n">
        <f aca="false">Codestufen!B101</f>
        <v>0</v>
      </c>
      <c r="C100" s="6" t="n">
        <f aca="false">COUNTIF(V_W_Q6_Zuord,A100)</f>
        <v>0</v>
      </c>
      <c r="D100" s="28" t="s">
        <v>52</v>
      </c>
      <c r="E100" s="28" t="n">
        <v>63</v>
      </c>
      <c r="F100" s="29" t="s">
        <v>58</v>
      </c>
      <c r="G100" s="30" t="n">
        <v>3</v>
      </c>
      <c r="H100" s="28" t="n">
        <f aca="false">IF(TRIM(F100)="",0,1)</f>
        <v>1</v>
      </c>
      <c r="I100" s="28" t="n">
        <f aca="false">COUNT(G100:G100)</f>
        <v>1</v>
      </c>
      <c r="J100" s="28" t="n">
        <f aca="false">IF(I100 &gt;= H100,0,1)</f>
        <v>0</v>
      </c>
      <c r="K100" s="28" t="n">
        <f aca="false">IF(AND(I100 &gt; 0,H100=0),1,0)</f>
        <v>0</v>
      </c>
      <c r="L100" s="28"/>
      <c r="M100" s="28"/>
      <c r="N100" s="28"/>
      <c r="O100" s="28"/>
      <c r="P100" s="28"/>
      <c r="Q100" s="28"/>
      <c r="R100" s="28"/>
      <c r="S100" s="28"/>
      <c r="T100" s="28"/>
    </row>
    <row r="101" customFormat="false" ht="11.25" hidden="false" customHeight="false" outlineLevel="0" collapsed="false">
      <c r="D101" s="28" t="s">
        <v>52</v>
      </c>
      <c r="E101" s="28" t="n">
        <v>69</v>
      </c>
      <c r="F101" s="29" t="s">
        <v>58</v>
      </c>
      <c r="G101" s="30" t="n">
        <v>3</v>
      </c>
      <c r="H101" s="28" t="n">
        <f aca="false">IF(TRIM(F101)="",0,1)</f>
        <v>1</v>
      </c>
      <c r="I101" s="28" t="n">
        <f aca="false">COUNT(G101:G101)</f>
        <v>1</v>
      </c>
      <c r="J101" s="28" t="n">
        <f aca="false">IF(I101 &gt;= H101,0,1)</f>
        <v>0</v>
      </c>
      <c r="K101" s="28" t="n">
        <f aca="false">IF(AND(I101 &gt; 0,H101=0),1,0)</f>
        <v>0</v>
      </c>
      <c r="L101" s="28"/>
      <c r="M101" s="28"/>
      <c r="N101" s="28"/>
      <c r="O101" s="28"/>
      <c r="P101" s="28"/>
      <c r="Q101" s="28"/>
      <c r="R101" s="28"/>
      <c r="S101" s="28"/>
      <c r="T101" s="28"/>
    </row>
    <row r="102" customFormat="false" ht="11.25" hidden="false" customHeight="false" outlineLevel="0" collapsed="false">
      <c r="D102" s="28" t="s">
        <v>52</v>
      </c>
      <c r="E102" s="28" t="n">
        <v>76</v>
      </c>
      <c r="F102" s="29" t="s">
        <v>58</v>
      </c>
      <c r="G102" s="30" t="n">
        <v>3</v>
      </c>
      <c r="H102" s="28" t="n">
        <f aca="false">IF(TRIM(F102)="",0,1)</f>
        <v>1</v>
      </c>
      <c r="I102" s="28" t="n">
        <f aca="false">COUNT(G102:G102)</f>
        <v>1</v>
      </c>
      <c r="J102" s="28" t="n">
        <f aca="false">IF(I102 &gt;= H102,0,1)</f>
        <v>0</v>
      </c>
      <c r="K102" s="28" t="n">
        <f aca="false">IF(AND(I102 &gt; 0,H102=0),1,0)</f>
        <v>0</v>
      </c>
      <c r="L102" s="28"/>
      <c r="M102" s="28"/>
      <c r="N102" s="28"/>
      <c r="O102" s="28"/>
      <c r="P102" s="28"/>
      <c r="Q102" s="28"/>
      <c r="R102" s="28"/>
      <c r="S102" s="28"/>
      <c r="T102" s="28"/>
    </row>
    <row r="103" customFormat="false" ht="11.25" hidden="false" customHeight="false" outlineLevel="0" collapsed="false">
      <c r="D103" s="28" t="s">
        <v>52</v>
      </c>
      <c r="E103" s="28" t="n">
        <v>99</v>
      </c>
      <c r="F103" s="29" t="s">
        <v>58</v>
      </c>
      <c r="G103" s="30" t="n">
        <v>3</v>
      </c>
      <c r="H103" s="28" t="n">
        <f aca="false">IF(TRIM(F103)="",0,1)</f>
        <v>1</v>
      </c>
      <c r="I103" s="28" t="n">
        <f aca="false">COUNT(G103:G103)</f>
        <v>1</v>
      </c>
      <c r="J103" s="28" t="n">
        <f aca="false">IF(I103 &gt;= H103,0,1)</f>
        <v>0</v>
      </c>
      <c r="K103" s="28" t="n">
        <f aca="false">IF(AND(I103 &gt; 0,H103=0),1,0)</f>
        <v>0</v>
      </c>
      <c r="L103" s="28"/>
      <c r="M103" s="28"/>
      <c r="N103" s="28"/>
      <c r="O103" s="28"/>
      <c r="P103" s="28"/>
      <c r="Q103" s="28"/>
      <c r="R103" s="28"/>
      <c r="S103" s="28"/>
      <c r="T103" s="28"/>
    </row>
    <row r="104" customFormat="false" ht="11.25" hidden="false" customHeight="false" outlineLevel="0" collapsed="false">
      <c r="D104" s="28" t="s">
        <v>52</v>
      </c>
      <c r="E104" s="28" t="n">
        <v>1</v>
      </c>
      <c r="F104" s="29" t="s">
        <v>59</v>
      </c>
      <c r="G104" s="30" t="n">
        <v>1</v>
      </c>
      <c r="H104" s="28" t="n">
        <f aca="false">IF(TRIM(F104)="",0,1)</f>
        <v>1</v>
      </c>
      <c r="I104" s="28" t="n">
        <f aca="false">COUNT(G104:G104)</f>
        <v>1</v>
      </c>
      <c r="J104" s="28" t="n">
        <f aca="false">IF(I104 &gt;= H104,0,1)</f>
        <v>0</v>
      </c>
      <c r="K104" s="28" t="n">
        <f aca="false">IF(AND(I104 &gt; 0,H104=0),1,0)</f>
        <v>0</v>
      </c>
      <c r="L104" s="28"/>
      <c r="M104" s="28"/>
      <c r="N104" s="28"/>
      <c r="O104" s="28"/>
      <c r="P104" s="28"/>
      <c r="Q104" s="28"/>
      <c r="R104" s="28"/>
      <c r="S104" s="28"/>
      <c r="T104" s="28"/>
    </row>
    <row r="105" customFormat="false" ht="11.25" hidden="false" customHeight="false" outlineLevel="0" collapsed="false">
      <c r="D105" s="28" t="s">
        <v>52</v>
      </c>
      <c r="E105" s="28" t="n">
        <v>10</v>
      </c>
      <c r="F105" s="29" t="s">
        <v>59</v>
      </c>
      <c r="G105" s="30" t="n">
        <v>1</v>
      </c>
      <c r="H105" s="28" t="n">
        <f aca="false">IF(TRIM(F105)="",0,1)</f>
        <v>1</v>
      </c>
      <c r="I105" s="28" t="n">
        <f aca="false">COUNT(G105:G105)</f>
        <v>1</v>
      </c>
      <c r="J105" s="28" t="n">
        <f aca="false">IF(I105 &gt;= H105,0,1)</f>
        <v>0</v>
      </c>
      <c r="K105" s="28" t="n">
        <f aca="false">IF(AND(I105 &gt; 0,H105=0),1,0)</f>
        <v>0</v>
      </c>
      <c r="L105" s="28"/>
      <c r="M105" s="28"/>
      <c r="N105" s="28"/>
      <c r="O105" s="28"/>
      <c r="P105" s="28"/>
      <c r="Q105" s="28"/>
      <c r="R105" s="28"/>
      <c r="S105" s="28"/>
      <c r="T105" s="28"/>
    </row>
    <row r="106" customFormat="false" ht="11.25" hidden="false" customHeight="false" outlineLevel="0" collapsed="false">
      <c r="D106" s="28" t="s">
        <v>52</v>
      </c>
      <c r="E106" s="28" t="n">
        <v>16</v>
      </c>
      <c r="F106" s="29" t="s">
        <v>59</v>
      </c>
      <c r="G106" s="30" t="n">
        <v>1</v>
      </c>
      <c r="H106" s="28" t="n">
        <f aca="false">IF(TRIM(F106)="",0,1)</f>
        <v>1</v>
      </c>
      <c r="I106" s="28" t="n">
        <f aca="false">COUNT(G106:G106)</f>
        <v>1</v>
      </c>
      <c r="J106" s="28" t="n">
        <f aca="false">IF(I106 &gt;= H106,0,1)</f>
        <v>0</v>
      </c>
      <c r="K106" s="28" t="n">
        <f aca="false">IF(AND(I106 &gt; 0,H106=0),1,0)</f>
        <v>0</v>
      </c>
      <c r="L106" s="28"/>
      <c r="M106" s="28"/>
      <c r="N106" s="28"/>
      <c r="O106" s="28"/>
      <c r="P106" s="28"/>
      <c r="Q106" s="28"/>
      <c r="R106" s="28"/>
      <c r="S106" s="28"/>
      <c r="T106" s="28"/>
    </row>
    <row r="107" customFormat="false" ht="11.25" hidden="false" customHeight="false" outlineLevel="0" collapsed="false">
      <c r="D107" s="28" t="s">
        <v>52</v>
      </c>
      <c r="E107" s="28" t="n">
        <v>33</v>
      </c>
      <c r="F107" s="29" t="s">
        <v>59</v>
      </c>
      <c r="G107" s="30" t="n">
        <v>1</v>
      </c>
      <c r="H107" s="28" t="n">
        <f aca="false">IF(TRIM(F107)="",0,1)</f>
        <v>1</v>
      </c>
      <c r="I107" s="28" t="n">
        <f aca="false">COUNT(G107:G107)</f>
        <v>1</v>
      </c>
      <c r="J107" s="28" t="n">
        <f aca="false">IF(I107 &gt;= H107,0,1)</f>
        <v>0</v>
      </c>
      <c r="K107" s="28" t="n">
        <f aca="false">IF(AND(I107 &gt; 0,H107=0),1,0)</f>
        <v>0</v>
      </c>
      <c r="L107" s="28"/>
      <c r="M107" s="28"/>
      <c r="N107" s="28"/>
      <c r="O107" s="28"/>
      <c r="P107" s="28"/>
      <c r="Q107" s="28"/>
      <c r="R107" s="28"/>
      <c r="S107" s="28"/>
      <c r="T107" s="28"/>
    </row>
    <row r="108" customFormat="false" ht="11.25" hidden="false" customHeight="false" outlineLevel="0" collapsed="false">
      <c r="D108" s="28" t="s">
        <v>52</v>
      </c>
      <c r="E108" s="28" t="n">
        <v>41</v>
      </c>
      <c r="F108" s="29" t="s">
        <v>59</v>
      </c>
      <c r="G108" s="30" t="n">
        <v>1</v>
      </c>
      <c r="H108" s="28" t="n">
        <f aca="false">IF(TRIM(F108)="",0,1)</f>
        <v>1</v>
      </c>
      <c r="I108" s="28" t="n">
        <f aca="false">COUNT(G108:G108)</f>
        <v>1</v>
      </c>
      <c r="J108" s="28" t="n">
        <f aca="false">IF(I108 &gt;= H108,0,1)</f>
        <v>0</v>
      </c>
      <c r="K108" s="28" t="n">
        <f aca="false">IF(AND(I108 &gt; 0,H108=0),1,0)</f>
        <v>0</v>
      </c>
      <c r="L108" s="28"/>
      <c r="M108" s="28"/>
      <c r="N108" s="28"/>
      <c r="O108" s="28"/>
      <c r="P108" s="28"/>
      <c r="Q108" s="28"/>
      <c r="R108" s="28"/>
      <c r="S108" s="28"/>
      <c r="T108" s="28"/>
    </row>
    <row r="109" customFormat="false" ht="11.25" hidden="false" customHeight="false" outlineLevel="0" collapsed="false">
      <c r="D109" s="28" t="s">
        <v>52</v>
      </c>
      <c r="E109" s="28" t="n">
        <v>42</v>
      </c>
      <c r="F109" s="29" t="s">
        <v>59</v>
      </c>
      <c r="G109" s="30" t="n">
        <v>1</v>
      </c>
      <c r="H109" s="28" t="n">
        <f aca="false">IF(TRIM(F109)="",0,1)</f>
        <v>1</v>
      </c>
      <c r="I109" s="28" t="n">
        <f aca="false">COUNT(G109:G109)</f>
        <v>1</v>
      </c>
      <c r="J109" s="28" t="n">
        <f aca="false">IF(I109 &gt;= H109,0,1)</f>
        <v>0</v>
      </c>
      <c r="K109" s="28" t="n">
        <f aca="false">IF(AND(I109 &gt; 0,H109=0),1,0)</f>
        <v>0</v>
      </c>
      <c r="L109" s="28"/>
      <c r="M109" s="28"/>
      <c r="N109" s="28"/>
      <c r="O109" s="28"/>
      <c r="P109" s="28"/>
      <c r="Q109" s="28"/>
      <c r="R109" s="28"/>
      <c r="S109" s="28"/>
      <c r="T109" s="28"/>
    </row>
    <row r="110" customFormat="false" ht="11.25" hidden="false" customHeight="false" outlineLevel="0" collapsed="false">
      <c r="D110" s="28" t="s">
        <v>52</v>
      </c>
      <c r="E110" s="28" t="n">
        <v>68</v>
      </c>
      <c r="F110" s="29" t="s">
        <v>59</v>
      </c>
      <c r="G110" s="30" t="n">
        <v>1</v>
      </c>
      <c r="H110" s="28" t="n">
        <f aca="false">IF(TRIM(F110)="",0,1)</f>
        <v>1</v>
      </c>
      <c r="I110" s="28" t="n">
        <f aca="false">COUNT(G110:G110)</f>
        <v>1</v>
      </c>
      <c r="J110" s="28" t="n">
        <f aca="false">IF(I110 &gt;= H110,0,1)</f>
        <v>0</v>
      </c>
      <c r="K110" s="28" t="n">
        <f aca="false">IF(AND(I110 &gt; 0,H110=0),1,0)</f>
        <v>0</v>
      </c>
      <c r="L110" s="28"/>
      <c r="M110" s="28"/>
      <c r="N110" s="28"/>
      <c r="O110" s="28"/>
      <c r="P110" s="28"/>
      <c r="Q110" s="28"/>
      <c r="R110" s="28"/>
      <c r="S110" s="28"/>
      <c r="T110" s="28"/>
    </row>
    <row r="111" customFormat="false" ht="11.25" hidden="false" customHeight="false" outlineLevel="0" collapsed="false">
      <c r="D111" s="28" t="s">
        <v>52</v>
      </c>
      <c r="E111" s="28" t="n">
        <v>75</v>
      </c>
      <c r="F111" s="29" t="s">
        <v>59</v>
      </c>
      <c r="G111" s="30" t="n">
        <v>1</v>
      </c>
      <c r="H111" s="28" t="n">
        <f aca="false">IF(TRIM(F111)="",0,1)</f>
        <v>1</v>
      </c>
      <c r="I111" s="28" t="n">
        <f aca="false">COUNT(G111:G111)</f>
        <v>1</v>
      </c>
      <c r="J111" s="28" t="n">
        <f aca="false">IF(I111 &gt;= H111,0,1)</f>
        <v>0</v>
      </c>
      <c r="K111" s="28" t="n">
        <f aca="false">IF(AND(I111 &gt; 0,H111=0),1,0)</f>
        <v>0</v>
      </c>
      <c r="L111" s="28"/>
      <c r="M111" s="28"/>
      <c r="N111" s="28"/>
      <c r="O111" s="28"/>
      <c r="P111" s="28"/>
      <c r="Q111" s="28"/>
      <c r="R111" s="28"/>
      <c r="S111" s="28"/>
      <c r="T111" s="28"/>
    </row>
    <row r="112" customFormat="false" ht="11.25" hidden="false" customHeight="false" outlineLevel="0" collapsed="false">
      <c r="D112" s="28" t="s">
        <v>52</v>
      </c>
      <c r="E112" s="28" t="n">
        <v>82</v>
      </c>
      <c r="F112" s="29" t="s">
        <v>59</v>
      </c>
      <c r="G112" s="30" t="n">
        <v>1</v>
      </c>
      <c r="H112" s="28" t="n">
        <f aca="false">IF(TRIM(F112)="",0,1)</f>
        <v>1</v>
      </c>
      <c r="I112" s="28" t="n">
        <f aca="false">COUNT(G112:G112)</f>
        <v>1</v>
      </c>
      <c r="J112" s="28" t="n">
        <f aca="false">IF(I112 &gt;= H112,0,1)</f>
        <v>0</v>
      </c>
      <c r="K112" s="28" t="n">
        <f aca="false">IF(AND(I112 &gt; 0,H112=0),1,0)</f>
        <v>0</v>
      </c>
      <c r="L112" s="28"/>
      <c r="M112" s="28"/>
      <c r="N112" s="28"/>
      <c r="O112" s="28"/>
      <c r="P112" s="28"/>
      <c r="Q112" s="28"/>
      <c r="R112" s="28"/>
      <c r="S112" s="28"/>
      <c r="T112" s="28"/>
    </row>
    <row r="113" customFormat="false" ht="11.25" hidden="false" customHeight="false" outlineLevel="0" collapsed="false">
      <c r="D113" s="28" t="s">
        <v>52</v>
      </c>
      <c r="E113" s="28" t="n">
        <v>86</v>
      </c>
      <c r="F113" s="29" t="s">
        <v>59</v>
      </c>
      <c r="G113" s="30" t="n">
        <v>1</v>
      </c>
      <c r="H113" s="28" t="n">
        <f aca="false">IF(TRIM(F113)="",0,1)</f>
        <v>1</v>
      </c>
      <c r="I113" s="28" t="n">
        <f aca="false">COUNT(G113:G113)</f>
        <v>1</v>
      </c>
      <c r="J113" s="28" t="n">
        <f aca="false">IF(I113 &gt;= H113,0,1)</f>
        <v>0</v>
      </c>
      <c r="K113" s="28" t="n">
        <f aca="false">IF(AND(I113 &gt; 0,H113=0),1,0)</f>
        <v>0</v>
      </c>
      <c r="L113" s="28"/>
      <c r="M113" s="28"/>
      <c r="N113" s="28"/>
      <c r="O113" s="28"/>
      <c r="P113" s="28"/>
      <c r="Q113" s="28"/>
      <c r="R113" s="28"/>
      <c r="S113" s="28"/>
      <c r="T113" s="28"/>
    </row>
    <row r="114" customFormat="false" ht="11.25" hidden="false" customHeight="false" outlineLevel="0" collapsed="false">
      <c r="D114" s="28" t="s">
        <v>52</v>
      </c>
      <c r="E114" s="28" t="n">
        <v>93</v>
      </c>
      <c r="F114" s="29" t="s">
        <v>59</v>
      </c>
      <c r="G114" s="30" t="n">
        <v>1</v>
      </c>
      <c r="H114" s="28" t="n">
        <f aca="false">IF(TRIM(F114)="",0,1)</f>
        <v>1</v>
      </c>
      <c r="I114" s="28" t="n">
        <f aca="false">COUNT(G114:G114)</f>
        <v>1</v>
      </c>
      <c r="J114" s="28" t="n">
        <f aca="false">IF(I114 &gt;= H114,0,1)</f>
        <v>0</v>
      </c>
      <c r="K114" s="28" t="n">
        <f aca="false">IF(AND(I114 &gt; 0,H114=0),1,0)</f>
        <v>0</v>
      </c>
      <c r="L114" s="28"/>
      <c r="M114" s="28"/>
      <c r="N114" s="28"/>
      <c r="O114" s="28"/>
      <c r="P114" s="28"/>
      <c r="Q114" s="28"/>
      <c r="R114" s="28"/>
      <c r="S114" s="28"/>
      <c r="T114" s="28"/>
    </row>
    <row r="115" customFormat="false" ht="11.25" hidden="false" customHeight="false" outlineLevel="0" collapsed="false">
      <c r="D115" s="28" t="s">
        <v>52</v>
      </c>
      <c r="E115" s="28" t="n">
        <v>11</v>
      </c>
      <c r="F115" s="29" t="s">
        <v>60</v>
      </c>
      <c r="G115" s="30" t="n">
        <v>2</v>
      </c>
      <c r="H115" s="28" t="n">
        <f aca="false">IF(TRIM(F115)="",0,1)</f>
        <v>1</v>
      </c>
      <c r="I115" s="28" t="n">
        <f aca="false">COUNT(G115:G115)</f>
        <v>1</v>
      </c>
      <c r="J115" s="28" t="n">
        <f aca="false">IF(I115 &gt;= H115,0,1)</f>
        <v>0</v>
      </c>
      <c r="K115" s="28" t="n">
        <f aca="false">IF(AND(I115 &gt; 0,H115=0),1,0)</f>
        <v>0</v>
      </c>
      <c r="L115" s="28"/>
      <c r="M115" s="28"/>
      <c r="N115" s="28"/>
      <c r="O115" s="28"/>
      <c r="P115" s="28"/>
      <c r="Q115" s="28"/>
      <c r="R115" s="28"/>
      <c r="S115" s="28"/>
      <c r="T115" s="28"/>
    </row>
    <row r="116" customFormat="false" ht="11.25" hidden="false" customHeight="false" outlineLevel="0" collapsed="false">
      <c r="D116" s="28" t="s">
        <v>52</v>
      </c>
      <c r="E116" s="28" t="n">
        <v>20</v>
      </c>
      <c r="F116" s="29" t="s">
        <v>60</v>
      </c>
      <c r="G116" s="30" t="n">
        <v>2</v>
      </c>
      <c r="H116" s="28" t="n">
        <f aca="false">IF(TRIM(F116)="",0,1)</f>
        <v>1</v>
      </c>
      <c r="I116" s="28" t="n">
        <f aca="false">COUNT(G116:G116)</f>
        <v>1</v>
      </c>
      <c r="J116" s="28" t="n">
        <f aca="false">IF(I116 &gt;= H116,0,1)</f>
        <v>0</v>
      </c>
      <c r="K116" s="28" t="n">
        <f aca="false">IF(AND(I116 &gt; 0,H116=0),1,0)</f>
        <v>0</v>
      </c>
      <c r="L116" s="28"/>
      <c r="M116" s="28"/>
      <c r="N116" s="28"/>
      <c r="O116" s="28"/>
      <c r="P116" s="28"/>
      <c r="Q116" s="28"/>
      <c r="R116" s="28"/>
      <c r="S116" s="28"/>
      <c r="T116" s="28"/>
    </row>
    <row r="117" customFormat="false" ht="11.25" hidden="false" customHeight="false" outlineLevel="0" collapsed="false">
      <c r="D117" s="28" t="s">
        <v>52</v>
      </c>
      <c r="E117" s="28" t="n">
        <v>29</v>
      </c>
      <c r="F117" s="29" t="s">
        <v>60</v>
      </c>
      <c r="G117" s="30" t="n">
        <v>2</v>
      </c>
      <c r="H117" s="28" t="n">
        <f aca="false">IF(TRIM(F117)="",0,1)</f>
        <v>1</v>
      </c>
      <c r="I117" s="28" t="n">
        <f aca="false">COUNT(G117:G117)</f>
        <v>1</v>
      </c>
      <c r="J117" s="28" t="n">
        <f aca="false">IF(I117 &gt;= H117,0,1)</f>
        <v>0</v>
      </c>
      <c r="K117" s="28" t="n">
        <f aca="false">IF(AND(I117 &gt; 0,H117=0),1,0)</f>
        <v>0</v>
      </c>
      <c r="L117" s="28"/>
      <c r="M117" s="28"/>
      <c r="N117" s="28"/>
      <c r="O117" s="28"/>
      <c r="P117" s="28"/>
      <c r="Q117" s="28"/>
      <c r="R117" s="28"/>
      <c r="S117" s="28"/>
      <c r="T117" s="28"/>
    </row>
    <row r="118" customFormat="false" ht="11.25" hidden="false" customHeight="false" outlineLevel="0" collapsed="false">
      <c r="D118" s="28" t="s">
        <v>52</v>
      </c>
      <c r="E118" s="28" t="n">
        <v>46</v>
      </c>
      <c r="F118" s="29" t="s">
        <v>60</v>
      </c>
      <c r="G118" s="30" t="n">
        <v>2</v>
      </c>
      <c r="H118" s="28" t="n">
        <f aca="false">IF(TRIM(F118)="",0,1)</f>
        <v>1</v>
      </c>
      <c r="I118" s="28" t="n">
        <f aca="false">COUNT(G118:G118)</f>
        <v>1</v>
      </c>
      <c r="J118" s="28" t="n">
        <f aca="false">IF(I118 &gt;= H118,0,1)</f>
        <v>0</v>
      </c>
      <c r="K118" s="28" t="n">
        <f aca="false">IF(AND(I118 &gt; 0,H118=0),1,0)</f>
        <v>0</v>
      </c>
      <c r="L118" s="28"/>
      <c r="M118" s="28"/>
      <c r="N118" s="28"/>
      <c r="O118" s="28"/>
      <c r="P118" s="28"/>
      <c r="Q118" s="28"/>
      <c r="R118" s="28"/>
      <c r="S118" s="28"/>
      <c r="T118" s="28"/>
    </row>
    <row r="119" customFormat="false" ht="11.25" hidden="false" customHeight="false" outlineLevel="0" collapsed="false">
      <c r="D119" s="28" t="s">
        <v>52</v>
      </c>
      <c r="E119" s="28" t="n">
        <v>50</v>
      </c>
      <c r="F119" s="29" t="s">
        <v>60</v>
      </c>
      <c r="G119" s="30" t="n">
        <v>2</v>
      </c>
      <c r="H119" s="28" t="n">
        <f aca="false">IF(TRIM(F119)="",0,1)</f>
        <v>1</v>
      </c>
      <c r="I119" s="28" t="n">
        <f aca="false">COUNT(G119:G119)</f>
        <v>1</v>
      </c>
      <c r="J119" s="28" t="n">
        <f aca="false">IF(I119 &gt;= H119,0,1)</f>
        <v>0</v>
      </c>
      <c r="K119" s="28" t="n">
        <f aca="false">IF(AND(I119 &gt; 0,H119=0),1,0)</f>
        <v>0</v>
      </c>
      <c r="L119" s="28"/>
      <c r="M119" s="28"/>
      <c r="N119" s="28"/>
      <c r="O119" s="28"/>
      <c r="P119" s="28"/>
      <c r="Q119" s="28"/>
      <c r="R119" s="28"/>
      <c r="S119" s="28"/>
      <c r="T119" s="28"/>
    </row>
    <row r="120" customFormat="false" ht="11.25" hidden="false" customHeight="false" outlineLevel="0" collapsed="false">
      <c r="D120" s="28" t="s">
        <v>52</v>
      </c>
      <c r="E120" s="28" t="n">
        <v>81</v>
      </c>
      <c r="F120" s="29" t="s">
        <v>60</v>
      </c>
      <c r="G120" s="30" t="n">
        <v>2</v>
      </c>
      <c r="H120" s="28" t="n">
        <f aca="false">IF(TRIM(F120)="",0,1)</f>
        <v>1</v>
      </c>
      <c r="I120" s="28" t="n">
        <f aca="false">COUNT(G120:G120)</f>
        <v>1</v>
      </c>
      <c r="J120" s="28" t="n">
        <f aca="false">IF(I120 &gt;= H120,0,1)</f>
        <v>0</v>
      </c>
      <c r="K120" s="28" t="n">
        <f aca="false">IF(AND(I120 &gt; 0,H120=0),1,0)</f>
        <v>0</v>
      </c>
      <c r="L120" s="28"/>
      <c r="M120" s="28"/>
      <c r="N120" s="28"/>
      <c r="O120" s="28"/>
      <c r="P120" s="28"/>
      <c r="Q120" s="28"/>
      <c r="R120" s="28"/>
      <c r="S120" s="28"/>
      <c r="T120" s="28"/>
    </row>
    <row r="121" customFormat="false" ht="11.25" hidden="false" customHeight="false" outlineLevel="0" collapsed="false">
      <c r="D121" s="28" t="s">
        <v>52</v>
      </c>
      <c r="E121" s="28" t="n">
        <v>84</v>
      </c>
      <c r="F121" s="29" t="s">
        <v>60</v>
      </c>
      <c r="G121" s="30" t="n">
        <v>2</v>
      </c>
      <c r="H121" s="28" t="n">
        <f aca="false">IF(TRIM(F121)="",0,1)</f>
        <v>1</v>
      </c>
      <c r="I121" s="28" t="n">
        <f aca="false">COUNT(G121:G121)</f>
        <v>1</v>
      </c>
      <c r="J121" s="28" t="n">
        <f aca="false">IF(I121 &gt;= H121,0,1)</f>
        <v>0</v>
      </c>
      <c r="K121" s="28" t="n">
        <f aca="false">IF(AND(I121 &gt; 0,H121=0),1,0)</f>
        <v>0</v>
      </c>
      <c r="L121" s="28"/>
      <c r="M121" s="28"/>
      <c r="N121" s="28"/>
      <c r="O121" s="28"/>
      <c r="P121" s="28"/>
      <c r="Q121" s="28"/>
      <c r="R121" s="28"/>
      <c r="S121" s="28"/>
      <c r="T121" s="28"/>
    </row>
    <row r="122" customFormat="false" ht="11.25" hidden="false" customHeight="false" outlineLevel="0" collapsed="false">
      <c r="D122" s="28" t="s">
        <v>52</v>
      </c>
      <c r="E122" s="28" t="n">
        <v>87</v>
      </c>
      <c r="F122" s="29" t="s">
        <v>60</v>
      </c>
      <c r="G122" s="30" t="n">
        <v>2</v>
      </c>
      <c r="H122" s="28" t="n">
        <f aca="false">IF(TRIM(F122)="",0,1)</f>
        <v>1</v>
      </c>
      <c r="I122" s="28" t="n">
        <f aca="false">COUNT(G122:G122)</f>
        <v>1</v>
      </c>
      <c r="J122" s="28" t="n">
        <f aca="false">IF(I122 &gt;= H122,0,1)</f>
        <v>0</v>
      </c>
      <c r="K122" s="28" t="n">
        <f aca="false">IF(AND(I122 &gt; 0,H122=0),1,0)</f>
        <v>0</v>
      </c>
      <c r="L122" s="28"/>
      <c r="M122" s="28"/>
      <c r="N122" s="28"/>
      <c r="O122" s="28"/>
      <c r="P122" s="28"/>
      <c r="Q122" s="28"/>
      <c r="R122" s="28"/>
      <c r="S122" s="28"/>
      <c r="T122" s="28"/>
    </row>
    <row r="123" customFormat="false" ht="11.25" hidden="false" customHeight="false" outlineLevel="0" collapsed="false">
      <c r="D123" s="28" t="s">
        <v>52</v>
      </c>
      <c r="E123" s="28" t="n">
        <v>18</v>
      </c>
      <c r="F123" s="29" t="s">
        <v>61</v>
      </c>
      <c r="G123" s="30" t="n">
        <v>3</v>
      </c>
      <c r="H123" s="28" t="n">
        <f aca="false">IF(TRIM(F123)="",0,1)</f>
        <v>1</v>
      </c>
      <c r="I123" s="28" t="n">
        <f aca="false">COUNT(G123:G123)</f>
        <v>1</v>
      </c>
      <c r="J123" s="28" t="n">
        <f aca="false">IF(I123 &gt;= H123,0,1)</f>
        <v>0</v>
      </c>
      <c r="K123" s="28" t="n">
        <f aca="false">IF(AND(I123 &gt; 0,H123=0),1,0)</f>
        <v>0</v>
      </c>
      <c r="L123" s="28"/>
      <c r="M123" s="28"/>
      <c r="N123" s="28"/>
      <c r="O123" s="28"/>
      <c r="P123" s="28"/>
      <c r="Q123" s="28"/>
      <c r="R123" s="28"/>
      <c r="S123" s="28"/>
      <c r="T123" s="28"/>
    </row>
    <row r="124" customFormat="false" ht="11.25" hidden="false" customHeight="false" outlineLevel="0" collapsed="false">
      <c r="D124" s="28" t="s">
        <v>52</v>
      </c>
      <c r="E124" s="28" t="n">
        <v>31</v>
      </c>
      <c r="F124" s="29" t="s">
        <v>61</v>
      </c>
      <c r="G124" s="30" t="n">
        <v>3</v>
      </c>
      <c r="H124" s="28" t="n">
        <f aca="false">IF(TRIM(F124)="",0,1)</f>
        <v>1</v>
      </c>
      <c r="I124" s="28" t="n">
        <f aca="false">COUNT(G124:G124)</f>
        <v>1</v>
      </c>
      <c r="J124" s="28" t="n">
        <f aca="false">IF(I124 &gt;= H124,0,1)</f>
        <v>0</v>
      </c>
      <c r="K124" s="28" t="n">
        <f aca="false">IF(AND(I124 &gt; 0,H124=0),1,0)</f>
        <v>0</v>
      </c>
      <c r="L124" s="28"/>
      <c r="M124" s="28"/>
      <c r="N124" s="28"/>
      <c r="O124" s="28"/>
      <c r="P124" s="28"/>
      <c r="Q124" s="28"/>
      <c r="R124" s="28"/>
      <c r="S124" s="28"/>
      <c r="T124" s="28"/>
    </row>
    <row r="125" customFormat="false" ht="11.25" hidden="false" customHeight="false" outlineLevel="0" collapsed="false">
      <c r="D125" s="28" t="s">
        <v>52</v>
      </c>
      <c r="E125" s="28" t="n">
        <v>43</v>
      </c>
      <c r="F125" s="29" t="s">
        <v>61</v>
      </c>
      <c r="G125" s="30" t="n">
        <v>3</v>
      </c>
      <c r="H125" s="28" t="n">
        <f aca="false">IF(TRIM(F125)="",0,1)</f>
        <v>1</v>
      </c>
      <c r="I125" s="28" t="n">
        <f aca="false">COUNT(G125:G125)</f>
        <v>1</v>
      </c>
      <c r="J125" s="28" t="n">
        <f aca="false">IF(I125 &gt;= H125,0,1)</f>
        <v>0</v>
      </c>
      <c r="K125" s="28" t="n">
        <f aca="false">IF(AND(I125 &gt; 0,H125=0),1,0)</f>
        <v>0</v>
      </c>
      <c r="L125" s="28"/>
      <c r="M125" s="28"/>
      <c r="N125" s="28"/>
      <c r="O125" s="28"/>
      <c r="P125" s="28"/>
      <c r="Q125" s="28"/>
      <c r="R125" s="28"/>
      <c r="S125" s="28"/>
      <c r="T125" s="28"/>
    </row>
    <row r="126" customFormat="false" ht="11.25" hidden="false" customHeight="false" outlineLevel="0" collapsed="false">
      <c r="D126" s="28" t="s">
        <v>52</v>
      </c>
      <c r="E126" s="28" t="n">
        <v>48</v>
      </c>
      <c r="F126" s="29" t="s">
        <v>61</v>
      </c>
      <c r="G126" s="30" t="n">
        <v>3</v>
      </c>
      <c r="H126" s="28" t="n">
        <f aca="false">IF(TRIM(F126)="",0,1)</f>
        <v>1</v>
      </c>
      <c r="I126" s="28" t="n">
        <f aca="false">COUNT(G126:G126)</f>
        <v>1</v>
      </c>
      <c r="J126" s="28" t="n">
        <f aca="false">IF(I126 &gt;= H126,0,1)</f>
        <v>0</v>
      </c>
      <c r="K126" s="28" t="n">
        <f aca="false">IF(AND(I126 &gt; 0,H126=0),1,0)</f>
        <v>0</v>
      </c>
      <c r="L126" s="28"/>
      <c r="M126" s="28"/>
      <c r="N126" s="28"/>
      <c r="O126" s="28"/>
      <c r="P126" s="28"/>
      <c r="Q126" s="28"/>
      <c r="R126" s="28"/>
      <c r="S126" s="28"/>
      <c r="T126" s="28"/>
    </row>
    <row r="127" customFormat="false" ht="11.25" hidden="false" customHeight="false" outlineLevel="0" collapsed="false">
      <c r="D127" s="28" t="s">
        <v>52</v>
      </c>
      <c r="E127" s="28" t="n">
        <v>59</v>
      </c>
      <c r="F127" s="29" t="s">
        <v>61</v>
      </c>
      <c r="G127" s="30" t="n">
        <v>3</v>
      </c>
      <c r="H127" s="28" t="n">
        <f aca="false">IF(TRIM(F127)="",0,1)</f>
        <v>1</v>
      </c>
      <c r="I127" s="28" t="n">
        <f aca="false">COUNT(G127:G127)</f>
        <v>1</v>
      </c>
      <c r="J127" s="28" t="n">
        <f aca="false">IF(I127 &gt;= H127,0,1)</f>
        <v>0</v>
      </c>
      <c r="K127" s="28" t="n">
        <f aca="false">IF(AND(I127 &gt; 0,H127=0),1,0)</f>
        <v>0</v>
      </c>
      <c r="L127" s="28"/>
      <c r="M127" s="28"/>
      <c r="N127" s="28"/>
      <c r="O127" s="28"/>
      <c r="P127" s="28"/>
      <c r="Q127" s="28"/>
      <c r="R127" s="28"/>
      <c r="S127" s="28"/>
      <c r="T127" s="28"/>
    </row>
    <row r="128" customFormat="false" ht="11.25" hidden="false" customHeight="false" outlineLevel="0" collapsed="false">
      <c r="D128" s="28" t="s">
        <v>52</v>
      </c>
      <c r="E128" s="28" t="n">
        <v>60</v>
      </c>
      <c r="F128" s="29" t="s">
        <v>61</v>
      </c>
      <c r="G128" s="30" t="n">
        <v>3</v>
      </c>
      <c r="H128" s="28" t="n">
        <f aca="false">IF(TRIM(F128)="",0,1)</f>
        <v>1</v>
      </c>
      <c r="I128" s="28" t="n">
        <f aca="false">COUNT(G128:G128)</f>
        <v>1</v>
      </c>
      <c r="J128" s="28" t="n">
        <f aca="false">IF(I128 &gt;= H128,0,1)</f>
        <v>0</v>
      </c>
      <c r="K128" s="28" t="n">
        <f aca="false">IF(AND(I128 &gt; 0,H128=0),1,0)</f>
        <v>0</v>
      </c>
      <c r="L128" s="28"/>
      <c r="M128" s="28"/>
      <c r="N128" s="28"/>
      <c r="O128" s="28"/>
      <c r="P128" s="28"/>
      <c r="Q128" s="28"/>
      <c r="R128" s="28"/>
      <c r="S128" s="28"/>
      <c r="T128" s="28"/>
    </row>
    <row r="129" customFormat="false" ht="12.8" hidden="false" customHeight="false" outlineLevel="0" collapsed="false">
      <c r="D129" s="28" t="s">
        <v>52</v>
      </c>
      <c r="E129" s="28" t="n">
        <v>64</v>
      </c>
      <c r="F129" s="29" t="s">
        <v>61</v>
      </c>
      <c r="G129" s="30"/>
      <c r="H129" s="28" t="n">
        <f aca="false">IF(TRIM(F129)="",0,1)</f>
        <v>1</v>
      </c>
      <c r="I129" s="28" t="n">
        <f aca="false">COUNT(G129:G129)</f>
        <v>0</v>
      </c>
      <c r="J129" s="28" t="n">
        <f aca="false">IF(I129 &gt;= H129,0,1)</f>
        <v>1</v>
      </c>
      <c r="K129" s="28" t="n">
        <f aca="false">IF(AND(I129 &gt; 0,H129=0),1,0)</f>
        <v>0</v>
      </c>
      <c r="L129" s="28"/>
      <c r="M129" s="28"/>
      <c r="N129" s="28"/>
      <c r="O129" s="28"/>
      <c r="P129" s="28"/>
      <c r="Q129" s="28"/>
      <c r="R129" s="28"/>
      <c r="S129" s="28"/>
      <c r="T129" s="28"/>
    </row>
    <row r="130" customFormat="false" ht="12.8" hidden="false" customHeight="false" outlineLevel="0" collapsed="false">
      <c r="D130" s="28" t="s">
        <v>52</v>
      </c>
      <c r="E130" s="28" t="n">
        <v>80</v>
      </c>
      <c r="F130" s="29" t="s">
        <v>61</v>
      </c>
      <c r="G130" s="30"/>
      <c r="H130" s="28" t="n">
        <f aca="false">IF(TRIM(F130)="",0,1)</f>
        <v>1</v>
      </c>
      <c r="I130" s="28" t="n">
        <f aca="false">COUNT(G130:G130)</f>
        <v>0</v>
      </c>
      <c r="J130" s="28" t="n">
        <f aca="false">IF(I130 &gt;= H130,0,1)</f>
        <v>1</v>
      </c>
      <c r="K130" s="28" t="n">
        <f aca="false">IF(AND(I130 &gt; 0,H130=0),1,0)</f>
        <v>0</v>
      </c>
      <c r="L130" s="28"/>
      <c r="M130" s="28"/>
      <c r="N130" s="28"/>
      <c r="O130" s="28"/>
      <c r="P130" s="28"/>
      <c r="Q130" s="28"/>
      <c r="R130" s="28"/>
      <c r="S130" s="28"/>
      <c r="T130" s="28"/>
    </row>
    <row r="131" customFormat="false" ht="12.8" hidden="false" customHeight="false" outlineLevel="0" collapsed="false">
      <c r="D131" s="28" t="s">
        <v>52</v>
      </c>
      <c r="E131" s="28" t="n">
        <v>92</v>
      </c>
      <c r="F131" s="29" t="s">
        <v>61</v>
      </c>
      <c r="G131" s="30"/>
      <c r="H131" s="28" t="n">
        <f aca="false">IF(TRIM(F131)="",0,1)</f>
        <v>1</v>
      </c>
      <c r="I131" s="28" t="n">
        <f aca="false">COUNT(G131:G131)</f>
        <v>0</v>
      </c>
      <c r="J131" s="28" t="n">
        <f aca="false">IF(I131 &gt;= H131,0,1)</f>
        <v>1</v>
      </c>
      <c r="K131" s="28" t="n">
        <f aca="false">IF(AND(I131 &gt; 0,H131=0),1,0)</f>
        <v>0</v>
      </c>
      <c r="L131" s="28"/>
      <c r="M131" s="28"/>
      <c r="N131" s="28"/>
      <c r="O131" s="28"/>
      <c r="P131" s="28"/>
      <c r="Q131" s="28"/>
      <c r="R131" s="28"/>
      <c r="S131" s="28"/>
      <c r="T131" s="28"/>
    </row>
    <row r="132" customFormat="false" ht="12.8" hidden="false" customHeight="false" outlineLevel="0" collapsed="false">
      <c r="D132" s="28" t="s">
        <v>52</v>
      </c>
      <c r="E132" s="28" t="n">
        <v>95</v>
      </c>
      <c r="F132" s="29" t="s">
        <v>61</v>
      </c>
      <c r="G132" s="30"/>
      <c r="H132" s="28" t="n">
        <f aca="false">IF(TRIM(F132)="",0,1)</f>
        <v>1</v>
      </c>
      <c r="I132" s="28" t="n">
        <f aca="false">COUNT(G132:G132)</f>
        <v>0</v>
      </c>
      <c r="J132" s="28" t="n">
        <f aca="false">IF(I132 &gt;= H132,0,1)</f>
        <v>1</v>
      </c>
      <c r="K132" s="28" t="n">
        <f aca="false">IF(AND(I132 &gt; 0,H132=0),1,0)</f>
        <v>0</v>
      </c>
      <c r="L132" s="28"/>
      <c r="M132" s="28"/>
      <c r="N132" s="28"/>
      <c r="O132" s="28"/>
      <c r="P132" s="28"/>
      <c r="Q132" s="28"/>
      <c r="R132" s="28"/>
      <c r="S132" s="28"/>
      <c r="T132" s="28"/>
    </row>
  </sheetData>
  <sheetProtection sheet="true" objects="true" scenarios="true" formatCells="false" formatColumns="false" formatRows="false" sort="false" autoFilter="false"/>
  <autoFilter ref="D32:T132"/>
  <mergeCells count="2">
    <mergeCell ref="H11:J14"/>
    <mergeCell ref="H17:J30"/>
  </mergeCells>
  <conditionalFormatting sqref="H17">
    <cfRule type="cellIs" priority="2" operator="notEqual" aboveAverage="0" equalAverage="0" bottom="0" percent="0" rank="0" text="" dxfId="0">
      <formula>""</formula>
    </cfRule>
  </conditionalFormatting>
  <conditionalFormatting sqref="H11:J14">
    <cfRule type="expression" priority="3" aboveAverage="0" equalAverage="0" bottom="0" percent="0" rank="0" text="" dxfId="1">
      <formula>H6=H7</formula>
    </cfRule>
  </conditionalFormatting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3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32" topLeftCell="A33" activePane="bottomLeft" state="frozen"/>
      <selection pane="topLeft" activeCell="D1" activeCellId="0" sqref="D1"/>
      <selection pane="bottomLeft" activeCell="G33" activeCellId="0" sqref="G33"/>
    </sheetView>
  </sheetViews>
  <sheetFormatPr defaultColWidth="11.43359375" defaultRowHeight="11.25" zeroHeight="false" outlineLevelRow="0" outlineLevelCol="0"/>
  <cols>
    <col collapsed="false" customWidth="true" hidden="true" outlineLevel="0" max="3" min="1" style="6" width="11.52"/>
    <col collapsed="false" customWidth="true" hidden="false" outlineLevel="0" max="4" min="4" style="6" width="5.7"/>
    <col collapsed="false" customWidth="true" hidden="false" outlineLevel="0" max="5" min="5" style="6" width="6.71"/>
    <col collapsed="false" customWidth="true" hidden="false" outlineLevel="0" max="6" min="6" style="6" width="45.71"/>
    <col collapsed="false" customWidth="true" hidden="false" outlineLevel="0" max="11" min="7" style="6" width="7.71"/>
    <col collapsed="false" customWidth="true" hidden="true" outlineLevel="0" max="20" min="12" style="6" width="11.52"/>
    <col collapsed="false" customWidth="false" hidden="false" outlineLevel="0" max="1024" min="21" style="6" width="11.42"/>
  </cols>
  <sheetData>
    <row r="1" customFormat="false" ht="12" hidden="false" customHeight="true" outlineLevel="0" collapsed="false">
      <c r="A1" s="6" t="n">
        <v>1</v>
      </c>
      <c r="B1" s="6" t="str">
        <f aca="false">Codestufen!C2</f>
        <v>sadness</v>
      </c>
      <c r="C1" s="6" t="n">
        <f aca="false">COUNTIF(V_W_Q7_Zuord,A1)</f>
        <v>19</v>
      </c>
      <c r="D1" s="7" t="s">
        <v>62</v>
      </c>
      <c r="E1" s="8"/>
      <c r="F1" s="9"/>
      <c r="G1" s="8"/>
      <c r="H1" s="10"/>
      <c r="I1" s="8"/>
      <c r="J1" s="8"/>
    </row>
    <row r="2" customFormat="false" ht="3" hidden="false" customHeight="true" outlineLevel="0" collapsed="false">
      <c r="A2" s="11" t="n">
        <v>2</v>
      </c>
      <c r="B2" s="6" t="str">
        <f aca="false">Codestufen!C3</f>
        <v>fear</v>
      </c>
      <c r="C2" s="6" t="n">
        <f aca="false">COUNTIF(V_W_Q7_Zuord,A2)</f>
        <v>27</v>
      </c>
      <c r="D2" s="8"/>
      <c r="E2" s="8"/>
      <c r="F2" s="9"/>
      <c r="G2" s="8"/>
      <c r="H2" s="8"/>
      <c r="I2" s="8"/>
      <c r="J2" s="8"/>
    </row>
    <row r="3" customFormat="false" ht="11.25" hidden="false" customHeight="false" outlineLevel="0" collapsed="false">
      <c r="A3" s="6" t="n">
        <v>3</v>
      </c>
      <c r="B3" s="6" t="str">
        <f aca="false">Codestufen!C4</f>
        <v>anger</v>
      </c>
      <c r="C3" s="6" t="n">
        <f aca="false">COUNTIF(V_W_Q7_Zuord,A3)</f>
        <v>29</v>
      </c>
      <c r="D3" s="12" t="n">
        <v>4</v>
      </c>
      <c r="E3" s="13" t="s">
        <v>13</v>
      </c>
      <c r="F3" s="13" t="s">
        <v>14</v>
      </c>
      <c r="G3" s="14" t="s">
        <v>15</v>
      </c>
      <c r="H3" s="15" t="s">
        <v>16</v>
      </c>
      <c r="I3" s="15"/>
      <c r="J3" s="16"/>
    </row>
    <row r="4" customFormat="false" ht="8.25" hidden="false" customHeight="true" outlineLevel="0" collapsed="false">
      <c r="A4" s="6" t="n">
        <v>4</v>
      </c>
      <c r="B4" s="6" t="str">
        <f aca="false">Codestufen!C5</f>
        <v>pain</v>
      </c>
      <c r="C4" s="6" t="n">
        <f aca="false">COUNTIF(V_W_Q7_Zuord,A4)</f>
        <v>25</v>
      </c>
      <c r="D4" s="17"/>
      <c r="E4" s="17"/>
      <c r="F4" s="17" t="str">
        <f aca="false">"Zuordnungen &lt; "&amp;E5</f>
        <v>Zuordnungen &lt; 1</v>
      </c>
      <c r="G4" s="17" t="n">
        <f aca="false">COUNTIF(V_W_Q7_Zuord,"&lt;"&amp;E5)</f>
        <v>0</v>
      </c>
      <c r="H4" s="16" t="n">
        <f aca="false">COUNTA(V_W_Q7_Datensaetze)/H5</f>
        <v>100</v>
      </c>
      <c r="I4" s="16" t="s">
        <v>17</v>
      </c>
      <c r="J4" s="16"/>
    </row>
    <row r="5" customFormat="false" ht="8.25" hidden="false" customHeight="true" outlineLevel="0" collapsed="false">
      <c r="A5" s="6" t="n">
        <v>5</v>
      </c>
      <c r="B5" s="6" t="n">
        <f aca="false">Codestufen!C6</f>
        <v>0</v>
      </c>
      <c r="C5" s="6" t="n">
        <f aca="false">COUNTIF(V_W_Q7_Zuord,A5)</f>
        <v>0</v>
      </c>
      <c r="D5" s="18" t="s">
        <v>18</v>
      </c>
      <c r="E5" s="18" t="n">
        <f aca="false">(4-D3)*20+1</f>
        <v>1</v>
      </c>
      <c r="F5" s="19" t="str">
        <f aca="false">HYPERLINK("#Codestufen!"&amp;ADDRESS(E5+1,D$6),IF(INDEX(V_W_Q7_CodestufenName,E5)=0,"",INDEX(V_W_Q7_CodestufenName,E5)))</f>
        <v>sadness</v>
      </c>
      <c r="G5" s="18" t="n">
        <f aca="false">INDEX(V_W_Q7_Codestufen,E5)</f>
        <v>19</v>
      </c>
      <c r="H5" s="16" t="n">
        <v>1</v>
      </c>
      <c r="I5" s="16" t="s">
        <v>19</v>
      </c>
      <c r="J5" s="16"/>
    </row>
    <row r="6" customFormat="false" ht="8.25" hidden="false" customHeight="true" outlineLevel="0" collapsed="false">
      <c r="A6" s="6" t="n">
        <v>6</v>
      </c>
      <c r="B6" s="6" t="n">
        <f aca="false">Codestufen!C7</f>
        <v>0</v>
      </c>
      <c r="C6" s="6" t="n">
        <f aca="false">COUNTIF(V_W_Q7_Zuord,A6)</f>
        <v>0</v>
      </c>
      <c r="D6" s="18" t="n">
        <v>3</v>
      </c>
      <c r="E6" s="18" t="n">
        <f aca="false">E5+1</f>
        <v>2</v>
      </c>
      <c r="F6" s="19" t="str">
        <f aca="false">HYPERLINK("#Codestufen!"&amp;ADDRESS(E6+1,D$6),IF(INDEX(V_W_Q7_CodestufenName,E6)=0,"",INDEX(V_W_Q7_CodestufenName,E6)))</f>
        <v>fear</v>
      </c>
      <c r="G6" s="18" t="n">
        <f aca="false">INDEX(V_W_Q7_Codestufen,E6)</f>
        <v>27</v>
      </c>
      <c r="H6" s="16" t="n">
        <f aca="false">SUM(V_W_Q7_Verbatims)</f>
        <v>100</v>
      </c>
      <c r="I6" s="16" t="s">
        <v>20</v>
      </c>
      <c r="J6" s="16"/>
    </row>
    <row r="7" customFormat="false" ht="8.25" hidden="false" customHeight="true" outlineLevel="0" collapsed="false">
      <c r="A7" s="6" t="n">
        <v>7</v>
      </c>
      <c r="B7" s="6" t="n">
        <f aca="false">Codestufen!C8</f>
        <v>0</v>
      </c>
      <c r="C7" s="6" t="n">
        <f aca="false">COUNTIF(V_W_Q7_Zuord,A7)</f>
        <v>0</v>
      </c>
      <c r="D7" s="18" t="s">
        <v>17</v>
      </c>
      <c r="E7" s="18" t="n">
        <f aca="false">E6+1</f>
        <v>3</v>
      </c>
      <c r="F7" s="19" t="str">
        <f aca="false">HYPERLINK("#Codestufen!"&amp;ADDRESS(E7+1,D$6),IF(INDEX(V_W_Q7_CodestufenName,E7)=0,"",INDEX(V_W_Q7_CodestufenName,E7)))</f>
        <v>anger</v>
      </c>
      <c r="G7" s="18" t="n">
        <f aca="false">INDEX(V_W_Q7_Codestufen,E7)</f>
        <v>29</v>
      </c>
      <c r="H7" s="16" t="n">
        <f aca="false">COUNTIF(V_W_Q7_AnzZuord,"&gt;0")</f>
        <v>100</v>
      </c>
      <c r="I7" s="16" t="s">
        <v>21</v>
      </c>
      <c r="J7" s="16"/>
    </row>
    <row r="8" customFormat="false" ht="8.25" hidden="false" customHeight="true" outlineLevel="0" collapsed="false">
      <c r="A8" s="6" t="n">
        <v>8</v>
      </c>
      <c r="B8" s="6" t="n">
        <f aca="false">Codestufen!C9</f>
        <v>0</v>
      </c>
      <c r="C8" s="6" t="n">
        <f aca="false">COUNTIF(V_W_Q7_Zuord,A8)</f>
        <v>0</v>
      </c>
      <c r="D8" s="18" t="str">
        <f aca="false">"D33:D"&amp;D24</f>
        <v>D33:D132</v>
      </c>
      <c r="E8" s="18" t="n">
        <f aca="false">E7+1</f>
        <v>4</v>
      </c>
      <c r="F8" s="19" t="str">
        <f aca="false">HYPERLINK("#Codestufen!"&amp;ADDRESS(E8+1,D$6),IF(INDEX(V_W_Q7_CodestufenName,E8)=0,"",INDEX(V_W_Q7_CodestufenName,E8)))</f>
        <v>pain</v>
      </c>
      <c r="G8" s="18" t="n">
        <f aca="false">INDEX(V_W_Q7_Codestufen,E8)</f>
        <v>25</v>
      </c>
      <c r="H8" s="16" t="n">
        <f aca="false">SUM(V_W_Q7_AnzZuord)</f>
        <v>100</v>
      </c>
      <c r="I8" s="16" t="s">
        <v>22</v>
      </c>
      <c r="J8" s="16"/>
    </row>
    <row r="9" customFormat="false" ht="8.25" hidden="false" customHeight="true" outlineLevel="0" collapsed="false">
      <c r="A9" s="6" t="n">
        <v>9</v>
      </c>
      <c r="B9" s="6" t="n">
        <f aca="false">Codestufen!C10</f>
        <v>0</v>
      </c>
      <c r="C9" s="6" t="n">
        <f aca="false">COUNTIF(V_W_Q7_Zuord,A9)</f>
        <v>0</v>
      </c>
      <c r="D9" s="18" t="s">
        <v>20</v>
      </c>
      <c r="E9" s="18" t="n">
        <f aca="false">E8+1</f>
        <v>5</v>
      </c>
      <c r="F9" s="19" t="str">
        <f aca="false">HYPERLINK("#Codestufen!"&amp;ADDRESS(E9+1,D$6),IF(INDEX(V_W_Q7_CodestufenName,E9)=0,"",INDEX(V_W_Q7_CodestufenName,E9)))</f>
        <v/>
      </c>
      <c r="G9" s="18" t="n">
        <f aca="false">INDEX(V_W_Q7_Codestufen,E9)</f>
        <v>0</v>
      </c>
      <c r="H9" s="16"/>
      <c r="I9" s="16"/>
      <c r="J9" s="16"/>
    </row>
    <row r="10" customFormat="false" ht="8.25" hidden="false" customHeight="true" outlineLevel="0" collapsed="false">
      <c r="A10" s="6" t="n">
        <v>10</v>
      </c>
      <c r="B10" s="6" t="n">
        <f aca="false">Codestufen!C11</f>
        <v>0</v>
      </c>
      <c r="C10" s="6" t="n">
        <f aca="false">COUNTIF(V_W_Q7_Zuord,A10)</f>
        <v>0</v>
      </c>
      <c r="D10" s="18" t="str">
        <f aca="false">"H33:H"&amp;D24</f>
        <v>H33:H132</v>
      </c>
      <c r="E10" s="18" t="n">
        <f aca="false">E9+1</f>
        <v>6</v>
      </c>
      <c r="F10" s="19" t="str">
        <f aca="false">HYPERLINK("#Codestufen!"&amp;ADDRESS(E10+1,D$6),IF(INDEX(V_W_Q7_CodestufenName,E10)=0,"",INDEX(V_W_Q7_CodestufenName,E10)))</f>
        <v/>
      </c>
      <c r="G10" s="18" t="n">
        <f aca="false">INDEX(V_W_Q7_Codestufen,E10)</f>
        <v>0</v>
      </c>
      <c r="H10" s="15" t="s">
        <v>23</v>
      </c>
      <c r="I10" s="16"/>
      <c r="J10" s="16"/>
    </row>
    <row r="11" customFormat="false" ht="8.25" hidden="false" customHeight="true" outlineLevel="0" collapsed="false">
      <c r="A11" s="6" t="n">
        <v>11</v>
      </c>
      <c r="B11" s="6" t="n">
        <f aca="false">Codestufen!C12</f>
        <v>0</v>
      </c>
      <c r="C11" s="6" t="n">
        <f aca="false">COUNTIF(V_W_Q7_Zuord,A11)</f>
        <v>0</v>
      </c>
      <c r="D11" s="18" t="s">
        <v>21</v>
      </c>
      <c r="E11" s="18" t="n">
        <f aca="false">E10+1</f>
        <v>7</v>
      </c>
      <c r="F11" s="19" t="str">
        <f aca="false">HYPERLINK("#Codestufen!"&amp;ADDRESS(E11+1,D$6),IF(INDEX(V_W_Q7_CodestufenName,E11)=0,"",INDEX(V_W_Q7_CodestufenName,E11)))</f>
        <v/>
      </c>
      <c r="G11" s="18" t="n">
        <f aca="false">INDEX(V_W_Q7_Codestufen,E11)</f>
        <v>0</v>
      </c>
      <c r="H11" s="20" t="str">
        <f aca="false">H6-H7&amp;" Verbatims sind noch zuzuordnen"</f>
        <v>0 Verbatims sind noch zuzuordnen</v>
      </c>
      <c r="I11" s="20"/>
      <c r="J11" s="20"/>
    </row>
    <row r="12" customFormat="false" ht="8.25" hidden="false" customHeight="true" outlineLevel="0" collapsed="false">
      <c r="A12" s="6" t="n">
        <v>12</v>
      </c>
      <c r="B12" s="6" t="n">
        <f aca="false">Codestufen!C13</f>
        <v>0</v>
      </c>
      <c r="C12" s="6" t="n">
        <f aca="false">COUNTIF(V_W_Q7_Zuord,A12)</f>
        <v>0</v>
      </c>
      <c r="D12" s="18" t="str">
        <f aca="false">"G33:G"&amp;D24</f>
        <v>G33:G132</v>
      </c>
      <c r="E12" s="18" t="n">
        <f aca="false">E11+1</f>
        <v>8</v>
      </c>
      <c r="F12" s="19" t="str">
        <f aca="false">HYPERLINK("#Codestufen!"&amp;ADDRESS(E12+1,D$6),IF(INDEX(V_W_Q7_CodestufenName,E12)=0,"",INDEX(V_W_Q7_CodestufenName,E12)))</f>
        <v/>
      </c>
      <c r="G12" s="18" t="n">
        <f aca="false">INDEX(V_W_Q7_Codestufen,E12)</f>
        <v>0</v>
      </c>
      <c r="H12" s="20"/>
      <c r="I12" s="20"/>
      <c r="J12" s="20"/>
    </row>
    <row r="13" customFormat="false" ht="8.25" hidden="false" customHeight="true" outlineLevel="0" collapsed="false">
      <c r="A13" s="6" t="n">
        <v>13</v>
      </c>
      <c r="B13" s="6" t="n">
        <f aca="false">Codestufen!C14</f>
        <v>0</v>
      </c>
      <c r="C13" s="6" t="n">
        <f aca="false">COUNTIF(V_W_Q7_Zuord,A13)</f>
        <v>0</v>
      </c>
      <c r="D13" s="18" t="s">
        <v>24</v>
      </c>
      <c r="E13" s="18" t="n">
        <f aca="false">E12+1</f>
        <v>9</v>
      </c>
      <c r="F13" s="19" t="str">
        <f aca="false">HYPERLINK("#Codestufen!"&amp;ADDRESS(E13+1,D$6),IF(INDEX(V_W_Q7_CodestufenName,E13)=0,"",INDEX(V_W_Q7_CodestufenName,E13)))</f>
        <v/>
      </c>
      <c r="G13" s="18" t="n">
        <f aca="false">INDEX(V_W_Q7_Codestufen,E13)</f>
        <v>0</v>
      </c>
      <c r="H13" s="20"/>
      <c r="I13" s="20"/>
      <c r="J13" s="20"/>
    </row>
    <row r="14" customFormat="false" ht="8.25" hidden="false" customHeight="true" outlineLevel="0" collapsed="false">
      <c r="A14" s="6" t="n">
        <v>14</v>
      </c>
      <c r="B14" s="6" t="n">
        <f aca="false">Codestufen!C15</f>
        <v>0</v>
      </c>
      <c r="C14" s="6" t="n">
        <f aca="false">COUNTIF(V_W_Q7_Zuord,A14)</f>
        <v>0</v>
      </c>
      <c r="D14" s="18" t="str">
        <f aca="false">"I33:I"&amp;D24</f>
        <v>I33:I132</v>
      </c>
      <c r="E14" s="18" t="n">
        <f aca="false">E13+1</f>
        <v>10</v>
      </c>
      <c r="F14" s="19" t="str">
        <f aca="false">HYPERLINK("#Codestufen!"&amp;ADDRESS(E14+1,D$6),IF(INDEX(V_W_Q7_CodestufenName,E14)=0,"",INDEX(V_W_Q7_CodestufenName,E14)))</f>
        <v/>
      </c>
      <c r="G14" s="18" t="n">
        <f aca="false">INDEX(V_W_Q7_Codestufen,E14)</f>
        <v>0</v>
      </c>
      <c r="H14" s="20"/>
      <c r="I14" s="20"/>
      <c r="J14" s="20"/>
    </row>
    <row r="15" customFormat="false" ht="8.25" hidden="false" customHeight="true" outlineLevel="0" collapsed="false">
      <c r="A15" s="6" t="n">
        <v>15</v>
      </c>
      <c r="B15" s="6" t="n">
        <f aca="false">Codestufen!C16</f>
        <v>0</v>
      </c>
      <c r="C15" s="6" t="n">
        <f aca="false">COUNTIF(V_W_Q7_Zuord,A15)</f>
        <v>0</v>
      </c>
      <c r="D15" s="18" t="s">
        <v>25</v>
      </c>
      <c r="E15" s="18" t="n">
        <f aca="false">E14+1</f>
        <v>11</v>
      </c>
      <c r="F15" s="19" t="str">
        <f aca="false">HYPERLINK("#Codestufen!"&amp;ADDRESS(E15+1,D$6),IF(INDEX(V_W_Q7_CodestufenName,E15)=0,"",INDEX(V_W_Q7_CodestufenName,E15)))</f>
        <v/>
      </c>
      <c r="G15" s="18" t="n">
        <f aca="false">INDEX(V_W_Q7_Codestufen,E15)</f>
        <v>0</v>
      </c>
    </row>
    <row r="16" customFormat="false" ht="8.25" hidden="false" customHeight="true" outlineLevel="0" collapsed="false">
      <c r="A16" s="6" t="n">
        <v>16</v>
      </c>
      <c r="B16" s="6" t="n">
        <f aca="false">Codestufen!C17</f>
        <v>0</v>
      </c>
      <c r="C16" s="6" t="n">
        <f aca="false">COUNTIF(V_W_Q7_Zuord,A16)</f>
        <v>0</v>
      </c>
      <c r="D16" s="18" t="str">
        <f aca="false">"J33:J"&amp;D24</f>
        <v>J33:J132</v>
      </c>
      <c r="E16" s="18" t="n">
        <f aca="false">E15+1</f>
        <v>12</v>
      </c>
      <c r="F16" s="19" t="str">
        <f aca="false">HYPERLINK("#Codestufen!"&amp;ADDRESS(E16+1,D$6),IF(INDEX(V_W_Q7_CodestufenName,E16)=0,"",INDEX(V_W_Q7_CodestufenName,E16)))</f>
        <v/>
      </c>
      <c r="G16" s="18" t="n">
        <f aca="false">INDEX(V_W_Q7_Codestufen,E16)</f>
        <v>0</v>
      </c>
      <c r="H16" s="15"/>
      <c r="I16" s="21"/>
      <c r="J16" s="21"/>
    </row>
    <row r="17" customFormat="false" ht="8.25" hidden="false" customHeight="true" outlineLevel="0" collapsed="false">
      <c r="A17" s="6" t="n">
        <v>17</v>
      </c>
      <c r="B17" s="6" t="n">
        <f aca="false">Codestufen!C18</f>
        <v>0</v>
      </c>
      <c r="C17" s="6" t="n">
        <f aca="false">COUNTIF(V_W_Q7_Zuord,A17)</f>
        <v>0</v>
      </c>
      <c r="D17" s="18" t="s">
        <v>26</v>
      </c>
      <c r="E17" s="18" t="n">
        <f aca="false">E16+1</f>
        <v>13</v>
      </c>
      <c r="F17" s="19" t="str">
        <f aca="false">HYPERLINK("#Codestufen!"&amp;ADDRESS(E17+1,D$6),IF(INDEX(V_W_Q7_CodestufenName,E17)=0,"",INDEX(V_W_Q7_CodestufenName,E17)))</f>
        <v/>
      </c>
      <c r="G17" s="18" t="n">
        <f aca="false">INDEX(V_W_Q7_Codestufen,E17)</f>
        <v>0</v>
      </c>
      <c r="H17" s="22" t="str">
        <f aca="false">IF(SUM(V_W_Q7_Codestufen)&lt;&gt;SUMIF(V_W_Q7_CodestufenName,"&lt;&gt;0",V_W_Q7_Codestufen),"Es gibt Nennungen, die keinem Code zugeordnet werden können.","")&amp;IF(SUM(V_W_Q7_AnzZuordOVerb)&gt;0,"Es gibt Zuordnungen bei nicht vorhandenen Verbatims.","")</f>
        <v/>
      </c>
      <c r="I17" s="22"/>
      <c r="J17" s="22"/>
    </row>
    <row r="18" customFormat="false" ht="8.25" hidden="false" customHeight="true" outlineLevel="0" collapsed="false">
      <c r="A18" s="6" t="n">
        <v>18</v>
      </c>
      <c r="B18" s="6" t="n">
        <f aca="false">Codestufen!C19</f>
        <v>0</v>
      </c>
      <c r="C18" s="6" t="n">
        <f aca="false">COUNTIF(V_W_Q7_Zuord,A18)</f>
        <v>0</v>
      </c>
      <c r="D18" s="18" t="str">
        <f aca="false">"K33:K"&amp;D24</f>
        <v>K33:K132</v>
      </c>
      <c r="E18" s="18" t="n">
        <f aca="false">E17+1</f>
        <v>14</v>
      </c>
      <c r="F18" s="19" t="str">
        <f aca="false">HYPERLINK("#Codestufen!"&amp;ADDRESS(E18+1,D$6),IF(INDEX(V_W_Q7_CodestufenName,E18)=0,"",INDEX(V_W_Q7_CodestufenName,E18)))</f>
        <v/>
      </c>
      <c r="G18" s="18" t="n">
        <f aca="false">INDEX(V_W_Q7_Codestufen,E18)</f>
        <v>0</v>
      </c>
      <c r="H18" s="22"/>
      <c r="I18" s="22"/>
      <c r="J18" s="22"/>
    </row>
    <row r="19" customFormat="false" ht="8.25" hidden="false" customHeight="true" outlineLevel="0" collapsed="false">
      <c r="A19" s="6" t="n">
        <v>19</v>
      </c>
      <c r="B19" s="6" t="n">
        <f aca="false">Codestufen!C20</f>
        <v>0</v>
      </c>
      <c r="C19" s="6" t="n">
        <f aca="false">COUNTIF(V_W_Q7_Zuord,A19)</f>
        <v>0</v>
      </c>
      <c r="D19" s="18" t="s">
        <v>27</v>
      </c>
      <c r="E19" s="18" t="n">
        <f aca="false">E18+1</f>
        <v>15</v>
      </c>
      <c r="F19" s="19" t="str">
        <f aca="false">HYPERLINK("#Codestufen!"&amp;ADDRESS(E19+1,D$6),IF(INDEX(V_W_Q7_CodestufenName,E19)=0,"",INDEX(V_W_Q7_CodestufenName,E19)))</f>
        <v/>
      </c>
      <c r="G19" s="18" t="n">
        <f aca="false">INDEX(V_W_Q7_Codestufen,E19)</f>
        <v>0</v>
      </c>
      <c r="H19" s="22"/>
      <c r="I19" s="22"/>
      <c r="J19" s="22"/>
    </row>
    <row r="20" customFormat="false" ht="8.25" hidden="false" customHeight="true" outlineLevel="0" collapsed="false">
      <c r="A20" s="6" t="n">
        <v>20</v>
      </c>
      <c r="B20" s="6" t="n">
        <f aca="false">Codestufen!C21</f>
        <v>0</v>
      </c>
      <c r="C20" s="6" t="n">
        <f aca="false">COUNTIF(V_W_Q7_Zuord,A20)</f>
        <v>0</v>
      </c>
      <c r="D20" s="18" t="s">
        <v>28</v>
      </c>
      <c r="E20" s="18" t="n">
        <f aca="false">E19+1</f>
        <v>16</v>
      </c>
      <c r="F20" s="19" t="str">
        <f aca="false">HYPERLINK("#Codestufen!"&amp;ADDRESS(E20+1,D$6),IF(INDEX(V_W_Q7_CodestufenName,E20)=0,"",INDEX(V_W_Q7_CodestufenName,E20)))</f>
        <v/>
      </c>
      <c r="G20" s="18" t="n">
        <f aca="false">INDEX(V_W_Q7_Codestufen,E20)</f>
        <v>0</v>
      </c>
      <c r="H20" s="22"/>
      <c r="I20" s="22"/>
      <c r="J20" s="22"/>
    </row>
    <row r="21" customFormat="false" ht="8.25" hidden="false" customHeight="true" outlineLevel="0" collapsed="false">
      <c r="A21" s="6" t="n">
        <v>21</v>
      </c>
      <c r="B21" s="6" t="n">
        <f aca="false">Codestufen!C22</f>
        <v>0</v>
      </c>
      <c r="C21" s="6" t="n">
        <f aca="false">COUNTIF(V_W_Q7_Zuord,A21)</f>
        <v>0</v>
      </c>
      <c r="D21" s="18" t="s">
        <v>29</v>
      </c>
      <c r="E21" s="18" t="n">
        <f aca="false">E20+1</f>
        <v>17</v>
      </c>
      <c r="F21" s="19" t="str">
        <f aca="false">HYPERLINK("#Codestufen!"&amp;ADDRESS(E21+1,D$6),IF(INDEX(V_W_Q7_CodestufenName,E21)=0,"",INDEX(V_W_Q7_CodestufenName,E21)))</f>
        <v/>
      </c>
      <c r="G21" s="18" t="n">
        <f aca="false">INDEX(V_W_Q7_Codestufen,E21)</f>
        <v>0</v>
      </c>
      <c r="H21" s="22"/>
      <c r="I21" s="22"/>
      <c r="J21" s="22"/>
    </row>
    <row r="22" customFormat="false" ht="8.25" hidden="false" customHeight="true" outlineLevel="0" collapsed="false">
      <c r="A22" s="6" t="n">
        <v>22</v>
      </c>
      <c r="B22" s="6" t="n">
        <f aca="false">Codestufen!C23</f>
        <v>0</v>
      </c>
      <c r="C22" s="6" t="n">
        <f aca="false">COUNTIF(V_W_Q7_Zuord,A22)</f>
        <v>0</v>
      </c>
      <c r="D22" s="18" t="s">
        <v>30</v>
      </c>
      <c r="E22" s="18" t="n">
        <f aca="false">E21+1</f>
        <v>18</v>
      </c>
      <c r="F22" s="19" t="str">
        <f aca="false">HYPERLINK("#Codestufen!"&amp;ADDRESS(E22+1,D$6),IF(INDEX(V_W_Q7_CodestufenName,E22)=0,"",INDEX(V_W_Q7_CodestufenName,E22)))</f>
        <v/>
      </c>
      <c r="G22" s="18" t="n">
        <f aca="false">INDEX(V_W_Q7_Codestufen,E22)</f>
        <v>0</v>
      </c>
      <c r="H22" s="22"/>
      <c r="I22" s="22"/>
      <c r="J22" s="22"/>
    </row>
    <row r="23" customFormat="false" ht="8.25" hidden="false" customHeight="true" outlineLevel="0" collapsed="false">
      <c r="A23" s="6" t="n">
        <v>23</v>
      </c>
      <c r="B23" s="6" t="n">
        <f aca="false">Codestufen!C24</f>
        <v>0</v>
      </c>
      <c r="C23" s="6" t="n">
        <f aca="false">COUNTIF(V_W_Q7_Zuord,A23)</f>
        <v>0</v>
      </c>
      <c r="D23" s="18" t="s">
        <v>31</v>
      </c>
      <c r="E23" s="18" t="n">
        <f aca="false">E22+1</f>
        <v>19</v>
      </c>
      <c r="F23" s="19" t="str">
        <f aca="false">HYPERLINK("#Codestufen!"&amp;ADDRESS(E23+1,D$6),IF(INDEX(V_W_Q7_CodestufenName,E23)=0,"",INDEX(V_W_Q7_CodestufenName,E23)))</f>
        <v/>
      </c>
      <c r="G23" s="18" t="n">
        <f aca="false">INDEX(V_W_Q7_Codestufen,E23)</f>
        <v>0</v>
      </c>
      <c r="H23" s="22"/>
      <c r="I23" s="22"/>
      <c r="J23" s="22"/>
    </row>
    <row r="24" customFormat="false" ht="8.25" hidden="false" customHeight="true" outlineLevel="0" collapsed="false">
      <c r="A24" s="6" t="n">
        <v>24</v>
      </c>
      <c r="B24" s="6" t="n">
        <f aca="false">Codestufen!C25</f>
        <v>0</v>
      </c>
      <c r="C24" s="6" t="n">
        <f aca="false">COUNTIF(V_W_Q7_Zuord,A24)</f>
        <v>0</v>
      </c>
      <c r="D24" s="18" t="n">
        <v>132</v>
      </c>
      <c r="E24" s="18" t="n">
        <f aca="false">E23+1</f>
        <v>20</v>
      </c>
      <c r="F24" s="19" t="str">
        <f aca="false">HYPERLINK("#Codestufen!"&amp;ADDRESS(E24+1,D$6),IF(INDEX(V_W_Q7_CodestufenName,E24)=0,"",INDEX(V_W_Q7_CodestufenName,E24)))</f>
        <v/>
      </c>
      <c r="G24" s="18" t="n">
        <f aca="false">INDEX(V_W_Q7_Codestufen,E24)</f>
        <v>0</v>
      </c>
      <c r="H24" s="22"/>
      <c r="I24" s="22"/>
      <c r="J24" s="22"/>
    </row>
    <row r="25" customFormat="false" ht="8.25" hidden="false" customHeight="true" outlineLevel="0" collapsed="false">
      <c r="A25" s="6" t="n">
        <v>25</v>
      </c>
      <c r="B25" s="6" t="n">
        <f aca="false">Codestufen!C26</f>
        <v>0</v>
      </c>
      <c r="C25" s="6" t="n">
        <f aca="false">COUNTIF(V_W_Q7_Zuord,A25)</f>
        <v>0</v>
      </c>
      <c r="D25" s="17"/>
      <c r="E25" s="17"/>
      <c r="F25" s="17" t="str">
        <f aca="false">"Zuordnungen &gt; " &amp;E24&amp; " und &lt; "&amp;E26</f>
        <v>Zuordnungen &gt; 20 und &lt; 97</v>
      </c>
      <c r="G25" s="17" t="n">
        <f aca="false">COUNTIF(V_W_Q7_Zuord,"&lt;"&amp;E26)-SUM(G4:G24)</f>
        <v>0</v>
      </c>
      <c r="H25" s="22"/>
      <c r="I25" s="22"/>
      <c r="J25" s="22"/>
    </row>
    <row r="26" customFormat="false" ht="8.25" hidden="false" customHeight="true" outlineLevel="0" collapsed="false">
      <c r="A26" s="6" t="n">
        <v>26</v>
      </c>
      <c r="B26" s="6" t="n">
        <f aca="false">Codestufen!C27</f>
        <v>0</v>
      </c>
      <c r="C26" s="6" t="n">
        <f aca="false">COUNTIF(V_W_Q7_Zuord,A26)</f>
        <v>0</v>
      </c>
      <c r="D26" s="23" t="s">
        <v>32</v>
      </c>
      <c r="E26" s="18" t="n">
        <f aca="false">D29</f>
        <v>97</v>
      </c>
      <c r="F26" s="19" t="str">
        <f aca="false">HYPERLINK("#Codestufen!"&amp;ADDRESS(E26+1,D$6),IF(INDEX(V_W_Q7_CodestufenName,E26)=0,"",INDEX(V_W_Q7_CodestufenName,E26)))</f>
        <v>Others</v>
      </c>
      <c r="G26" s="18" t="n">
        <f aca="false">INDEX(V_W_Q7_Codestufen,E26)</f>
        <v>0</v>
      </c>
      <c r="H26" s="22"/>
      <c r="I26" s="22"/>
      <c r="J26" s="22"/>
    </row>
    <row r="27" customFormat="false" ht="8.25" hidden="false" customHeight="true" outlineLevel="0" collapsed="false">
      <c r="A27" s="6" t="n">
        <v>27</v>
      </c>
      <c r="B27" s="6" t="n">
        <f aca="false">Codestufen!C28</f>
        <v>0</v>
      </c>
      <c r="C27" s="6" t="n">
        <f aca="false">COUNTIF(V_W_Q7_Zuord,A27)</f>
        <v>0</v>
      </c>
      <c r="D27" s="24" t="s">
        <v>33</v>
      </c>
      <c r="E27" s="18" t="n">
        <f aca="false">E26+1</f>
        <v>98</v>
      </c>
      <c r="F27" s="19" t="str">
        <f aca="false">HYPERLINK("#Codestufen!"&amp;ADDRESS(E27+1,D$6),IF(INDEX(V_W_Q7_CodestufenName,E27)=0,"",INDEX(V_W_Q7_CodestufenName,E27)))</f>
        <v/>
      </c>
      <c r="G27" s="18" t="n">
        <f aca="false">INDEX(V_W_Q7_Codestufen,E27)</f>
        <v>0</v>
      </c>
      <c r="H27" s="22"/>
      <c r="I27" s="22"/>
      <c r="J27" s="22"/>
    </row>
    <row r="28" customFormat="false" ht="8.25" hidden="false" customHeight="true" outlineLevel="0" collapsed="false">
      <c r="A28" s="6" t="n">
        <v>28</v>
      </c>
      <c r="B28" s="6" t="n">
        <f aca="false">Codestufen!C29</f>
        <v>0</v>
      </c>
      <c r="C28" s="6" t="n">
        <f aca="false">COUNTIF(V_W_Q7_Zuord,A28)</f>
        <v>0</v>
      </c>
      <c r="D28" s="24" t="s">
        <v>34</v>
      </c>
      <c r="E28" s="18" t="n">
        <f aca="false">E27+1</f>
        <v>99</v>
      </c>
      <c r="F28" s="19" t="str">
        <f aca="false">HYPERLINK("#Codestufen!"&amp;ADDRESS(E28+1,D$6),IF(INDEX(V_W_Q7_CodestufenName,E28)=0,"",INDEX(V_W_Q7_CodestufenName,E28)))</f>
        <v>No answer</v>
      </c>
      <c r="G28" s="18" t="n">
        <f aca="false">INDEX(V_W_Q7_Codestufen,E28)</f>
        <v>0</v>
      </c>
      <c r="H28" s="22"/>
      <c r="I28" s="22"/>
      <c r="J28" s="22"/>
    </row>
    <row r="29" customFormat="false" ht="8.25" hidden="false" customHeight="true" outlineLevel="0" collapsed="false">
      <c r="A29" s="6" t="n">
        <v>29</v>
      </c>
      <c r="B29" s="6" t="n">
        <f aca="false">Codestufen!C30</f>
        <v>0</v>
      </c>
      <c r="C29" s="6" t="n">
        <f aca="false">COUNTIF(V_W_Q7_Zuord,A29)</f>
        <v>0</v>
      </c>
      <c r="D29" s="25" t="n">
        <v>97</v>
      </c>
      <c r="E29" s="18" t="n">
        <f aca="false">E28+1</f>
        <v>100</v>
      </c>
      <c r="F29" s="19" t="str">
        <f aca="false">HYPERLINK("#Codestufen!"&amp;ADDRESS(E29+1,D$6),IF(INDEX(V_W_Q7_CodestufenName,E29)=0,"",INDEX(V_W_Q7_CodestufenName,E29)))</f>
        <v/>
      </c>
      <c r="G29" s="18" t="n">
        <f aca="false">INDEX(V_W_Q7_Codestufen,E29)</f>
        <v>0</v>
      </c>
      <c r="H29" s="22"/>
      <c r="I29" s="22"/>
      <c r="J29" s="22"/>
    </row>
    <row r="30" customFormat="false" ht="8.25" hidden="false" customHeight="true" outlineLevel="0" collapsed="false">
      <c r="A30" s="6" t="n">
        <v>30</v>
      </c>
      <c r="B30" s="6" t="n">
        <f aca="false">Codestufen!C31</f>
        <v>0</v>
      </c>
      <c r="C30" s="6" t="n">
        <f aca="false">COUNTIF(V_W_Q7_Zuord,A30)</f>
        <v>0</v>
      </c>
      <c r="D30" s="17"/>
      <c r="E30" s="17"/>
      <c r="F30" s="17" t="str">
        <f aca="false">"Zuordnungen &gt; " &amp;E29</f>
        <v>Zuordnungen &gt; 100</v>
      </c>
      <c r="G30" s="17" t="n">
        <f aca="false">COUNTIF(V_W_Q7_Zuord,"&gt;"&amp;E29)</f>
        <v>0</v>
      </c>
      <c r="H30" s="22"/>
      <c r="I30" s="22"/>
      <c r="J30" s="22"/>
    </row>
    <row r="31" customFormat="false" ht="8.25" hidden="false" customHeight="true" outlineLevel="0" collapsed="false">
      <c r="A31" s="6" t="n">
        <v>31</v>
      </c>
      <c r="B31" s="6" t="n">
        <f aca="false">Codestufen!C32</f>
        <v>0</v>
      </c>
      <c r="C31" s="6" t="n">
        <f aca="false">COUNTIF(V_W_Q7_Zuord,A31)</f>
        <v>0</v>
      </c>
    </row>
    <row r="32" s="26" customFormat="true" ht="33.75" hidden="false" customHeight="false" outlineLevel="0" collapsed="false">
      <c r="A32" s="26" t="n">
        <v>32</v>
      </c>
      <c r="B32" s="6" t="n">
        <f aca="false">Codestufen!C33</f>
        <v>0</v>
      </c>
      <c r="C32" s="6" t="n">
        <f aca="false">COUNTIF(V_W_Q7_Zuord,A32)</f>
        <v>0</v>
      </c>
      <c r="D32" s="27" t="s">
        <v>35</v>
      </c>
      <c r="E32" s="27" t="s">
        <v>36</v>
      </c>
      <c r="F32" s="27" t="s">
        <v>37</v>
      </c>
      <c r="G32" s="27" t="s">
        <v>38</v>
      </c>
      <c r="H32" s="27" t="s">
        <v>39</v>
      </c>
      <c r="I32" s="27" t="s">
        <v>40</v>
      </c>
      <c r="J32" s="27" t="s">
        <v>41</v>
      </c>
      <c r="K32" s="27" t="s">
        <v>42</v>
      </c>
      <c r="L32" s="27" t="s">
        <v>43</v>
      </c>
      <c r="M32" s="27" t="s">
        <v>44</v>
      </c>
      <c r="N32" s="27" t="s">
        <v>45</v>
      </c>
      <c r="O32" s="27" t="s">
        <v>46</v>
      </c>
      <c r="P32" s="27" t="s">
        <v>47</v>
      </c>
      <c r="Q32" s="27" t="s">
        <v>48</v>
      </c>
      <c r="R32" s="27" t="s">
        <v>49</v>
      </c>
      <c r="S32" s="27" t="s">
        <v>50</v>
      </c>
      <c r="T32" s="27" t="s">
        <v>51</v>
      </c>
    </row>
    <row r="33" customFormat="false" ht="11.25" hidden="false" customHeight="false" outlineLevel="0" collapsed="false">
      <c r="A33" s="6" t="n">
        <v>33</v>
      </c>
      <c r="B33" s="6" t="n">
        <f aca="false">Codestufen!C34</f>
        <v>0</v>
      </c>
      <c r="C33" s="6" t="n">
        <f aca="false">COUNTIF(V_W_Q7_Zuord,A33)</f>
        <v>0</v>
      </c>
      <c r="D33" s="28" t="s">
        <v>63</v>
      </c>
      <c r="E33" s="28" t="n">
        <v>77</v>
      </c>
      <c r="F33" s="29" t="s">
        <v>64</v>
      </c>
      <c r="G33" s="30" t="n">
        <v>1</v>
      </c>
      <c r="H33" s="28" t="n">
        <f aca="false">IF(TRIM(F33)="",0,1)</f>
        <v>1</v>
      </c>
      <c r="I33" s="28" t="n">
        <f aca="false">COUNT(G33:G33)</f>
        <v>1</v>
      </c>
      <c r="J33" s="28" t="n">
        <f aca="false">IF(I33 &gt;= H33,0,1)</f>
        <v>0</v>
      </c>
      <c r="K33" s="28" t="n">
        <f aca="false">IF(AND(I33 &gt; 0,H33=0),1,0)</f>
        <v>0</v>
      </c>
      <c r="L33" s="28"/>
      <c r="M33" s="28"/>
      <c r="N33" s="28"/>
      <c r="O33" s="28"/>
      <c r="P33" s="28"/>
      <c r="Q33" s="28"/>
      <c r="R33" s="28"/>
      <c r="S33" s="28"/>
      <c r="T33" s="28"/>
    </row>
    <row r="34" customFormat="false" ht="11.25" hidden="false" customHeight="false" outlineLevel="0" collapsed="false">
      <c r="A34" s="6" t="n">
        <v>34</v>
      </c>
      <c r="B34" s="6" t="n">
        <f aca="false">Codestufen!C35</f>
        <v>0</v>
      </c>
      <c r="C34" s="6" t="n">
        <f aca="false">COUNTIF(V_W_Q7_Zuord,A34)</f>
        <v>0</v>
      </c>
      <c r="D34" s="28" t="s">
        <v>63</v>
      </c>
      <c r="E34" s="28" t="n">
        <v>87</v>
      </c>
      <c r="F34" s="29" t="s">
        <v>64</v>
      </c>
      <c r="G34" s="30" t="n">
        <v>1</v>
      </c>
      <c r="H34" s="28" t="n">
        <f aca="false">IF(TRIM(F34)="",0,1)</f>
        <v>1</v>
      </c>
      <c r="I34" s="28" t="n">
        <f aca="false">COUNT(G34:G34)</f>
        <v>1</v>
      </c>
      <c r="J34" s="28" t="n">
        <f aca="false">IF(I34 &gt;= H34,0,1)</f>
        <v>0</v>
      </c>
      <c r="K34" s="28" t="n">
        <f aca="false">IF(AND(I34 &gt; 0,H34=0),1,0)</f>
        <v>0</v>
      </c>
      <c r="L34" s="28"/>
      <c r="M34" s="28"/>
      <c r="N34" s="28"/>
      <c r="O34" s="28"/>
      <c r="P34" s="28"/>
      <c r="Q34" s="28"/>
      <c r="R34" s="28"/>
      <c r="S34" s="28"/>
      <c r="T34" s="28"/>
    </row>
    <row r="35" customFormat="false" ht="11.25" hidden="false" customHeight="false" outlineLevel="0" collapsed="false">
      <c r="A35" s="6" t="n">
        <v>35</v>
      </c>
      <c r="B35" s="6" t="n">
        <f aca="false">Codestufen!C36</f>
        <v>0</v>
      </c>
      <c r="C35" s="6" t="n">
        <f aca="false">COUNTIF(V_W_Q7_Zuord,A35)</f>
        <v>0</v>
      </c>
      <c r="D35" s="28" t="s">
        <v>63</v>
      </c>
      <c r="E35" s="28" t="n">
        <v>6</v>
      </c>
      <c r="F35" s="29" t="s">
        <v>65</v>
      </c>
      <c r="G35" s="30" t="n">
        <v>4</v>
      </c>
      <c r="H35" s="28" t="n">
        <f aca="false">IF(TRIM(F35)="",0,1)</f>
        <v>1</v>
      </c>
      <c r="I35" s="28" t="n">
        <f aca="false">COUNT(G35:G35)</f>
        <v>1</v>
      </c>
      <c r="J35" s="28" t="n">
        <f aca="false">IF(I35 &gt;= H35,0,1)</f>
        <v>0</v>
      </c>
      <c r="K35" s="28" t="n">
        <f aca="false">IF(AND(I35 &gt; 0,H35=0),1,0)</f>
        <v>0</v>
      </c>
      <c r="L35" s="28"/>
      <c r="M35" s="28"/>
      <c r="N35" s="28"/>
      <c r="O35" s="28"/>
      <c r="P35" s="28"/>
      <c r="Q35" s="28"/>
      <c r="R35" s="28"/>
      <c r="S35" s="28"/>
      <c r="T35" s="28"/>
    </row>
    <row r="36" customFormat="false" ht="11.25" hidden="false" customHeight="false" outlineLevel="0" collapsed="false">
      <c r="A36" s="6" t="n">
        <v>36</v>
      </c>
      <c r="B36" s="6" t="n">
        <f aca="false">Codestufen!C37</f>
        <v>0</v>
      </c>
      <c r="C36" s="6" t="n">
        <f aca="false">COUNTIF(V_W_Q7_Zuord,A36)</f>
        <v>0</v>
      </c>
      <c r="D36" s="28" t="s">
        <v>63</v>
      </c>
      <c r="E36" s="28" t="n">
        <v>15</v>
      </c>
      <c r="F36" s="29" t="s">
        <v>65</v>
      </c>
      <c r="G36" s="30" t="n">
        <v>4</v>
      </c>
      <c r="H36" s="28" t="n">
        <f aca="false">IF(TRIM(F36)="",0,1)</f>
        <v>1</v>
      </c>
      <c r="I36" s="28" t="n">
        <f aca="false">COUNT(G36:G36)</f>
        <v>1</v>
      </c>
      <c r="J36" s="28" t="n">
        <f aca="false">IF(I36 &gt;= H36,0,1)</f>
        <v>0</v>
      </c>
      <c r="K36" s="28" t="n">
        <f aca="false">IF(AND(I36 &gt; 0,H36=0),1,0)</f>
        <v>0</v>
      </c>
      <c r="L36" s="28"/>
      <c r="M36" s="28"/>
      <c r="N36" s="28"/>
      <c r="O36" s="28"/>
      <c r="P36" s="28"/>
      <c r="Q36" s="28"/>
      <c r="R36" s="28"/>
      <c r="S36" s="28"/>
      <c r="T36" s="28"/>
    </row>
    <row r="37" customFormat="false" ht="11.25" hidden="false" customHeight="false" outlineLevel="0" collapsed="false">
      <c r="A37" s="6" t="n">
        <v>37</v>
      </c>
      <c r="B37" s="6" t="n">
        <f aca="false">Codestufen!C38</f>
        <v>0</v>
      </c>
      <c r="C37" s="6" t="n">
        <f aca="false">COUNTIF(V_W_Q7_Zuord,A37)</f>
        <v>0</v>
      </c>
      <c r="D37" s="28" t="s">
        <v>63</v>
      </c>
      <c r="E37" s="28" t="n">
        <v>23</v>
      </c>
      <c r="F37" s="29" t="s">
        <v>65</v>
      </c>
      <c r="G37" s="30" t="n">
        <v>4</v>
      </c>
      <c r="H37" s="28" t="n">
        <f aca="false">IF(TRIM(F37)="",0,1)</f>
        <v>1</v>
      </c>
      <c r="I37" s="28" t="n">
        <f aca="false">COUNT(G37:G37)</f>
        <v>1</v>
      </c>
      <c r="J37" s="28" t="n">
        <f aca="false">IF(I37 &gt;= H37,0,1)</f>
        <v>0</v>
      </c>
      <c r="K37" s="28" t="n">
        <f aca="false">IF(AND(I37 &gt; 0,H37=0),1,0)</f>
        <v>0</v>
      </c>
      <c r="L37" s="28"/>
      <c r="M37" s="28"/>
      <c r="N37" s="28"/>
      <c r="O37" s="28"/>
      <c r="P37" s="28"/>
      <c r="Q37" s="28"/>
      <c r="R37" s="28"/>
      <c r="S37" s="28"/>
      <c r="T37" s="28"/>
    </row>
    <row r="38" customFormat="false" ht="11.25" hidden="false" customHeight="false" outlineLevel="0" collapsed="false">
      <c r="A38" s="6" t="n">
        <v>38</v>
      </c>
      <c r="B38" s="6" t="n">
        <f aca="false">Codestufen!C39</f>
        <v>0</v>
      </c>
      <c r="C38" s="6" t="n">
        <f aca="false">COUNTIF(V_W_Q7_Zuord,A38)</f>
        <v>0</v>
      </c>
      <c r="D38" s="28" t="s">
        <v>63</v>
      </c>
      <c r="E38" s="28" t="n">
        <v>27</v>
      </c>
      <c r="F38" s="29" t="s">
        <v>65</v>
      </c>
      <c r="G38" s="30" t="n">
        <v>4</v>
      </c>
      <c r="H38" s="28" t="n">
        <f aca="false">IF(TRIM(F38)="",0,1)</f>
        <v>1</v>
      </c>
      <c r="I38" s="28" t="n">
        <f aca="false">COUNT(G38:G38)</f>
        <v>1</v>
      </c>
      <c r="J38" s="28" t="n">
        <f aca="false">IF(I38 &gt;= H38,0,1)</f>
        <v>0</v>
      </c>
      <c r="K38" s="28" t="n">
        <f aca="false">IF(AND(I38 &gt; 0,H38=0),1,0)</f>
        <v>0</v>
      </c>
      <c r="L38" s="28"/>
      <c r="M38" s="28"/>
      <c r="N38" s="28"/>
      <c r="O38" s="28"/>
      <c r="P38" s="28"/>
      <c r="Q38" s="28"/>
      <c r="R38" s="28"/>
      <c r="S38" s="28"/>
      <c r="T38" s="28"/>
    </row>
    <row r="39" customFormat="false" ht="11.25" hidden="false" customHeight="false" outlineLevel="0" collapsed="false">
      <c r="A39" s="6" t="n">
        <v>39</v>
      </c>
      <c r="B39" s="6" t="n">
        <f aca="false">Codestufen!C40</f>
        <v>0</v>
      </c>
      <c r="C39" s="6" t="n">
        <f aca="false">COUNTIF(V_W_Q7_Zuord,A39)</f>
        <v>0</v>
      </c>
      <c r="D39" s="28" t="s">
        <v>63</v>
      </c>
      <c r="E39" s="28" t="n">
        <v>44</v>
      </c>
      <c r="F39" s="29" t="s">
        <v>65</v>
      </c>
      <c r="G39" s="30" t="n">
        <v>4</v>
      </c>
      <c r="H39" s="28" t="n">
        <f aca="false">IF(TRIM(F39)="",0,1)</f>
        <v>1</v>
      </c>
      <c r="I39" s="28" t="n">
        <f aca="false">COUNT(G39:G39)</f>
        <v>1</v>
      </c>
      <c r="J39" s="28" t="n">
        <f aca="false">IF(I39 &gt;= H39,0,1)</f>
        <v>0</v>
      </c>
      <c r="K39" s="28" t="n">
        <f aca="false">IF(AND(I39 &gt; 0,H39=0),1,0)</f>
        <v>0</v>
      </c>
      <c r="L39" s="28"/>
      <c r="M39" s="28"/>
      <c r="N39" s="28"/>
      <c r="O39" s="28"/>
      <c r="P39" s="28"/>
      <c r="Q39" s="28"/>
      <c r="R39" s="28"/>
      <c r="S39" s="28"/>
      <c r="T39" s="28"/>
    </row>
    <row r="40" customFormat="false" ht="11.25" hidden="false" customHeight="false" outlineLevel="0" collapsed="false">
      <c r="A40" s="6" t="n">
        <v>40</v>
      </c>
      <c r="B40" s="6" t="n">
        <f aca="false">Codestufen!C41</f>
        <v>0</v>
      </c>
      <c r="C40" s="6" t="n">
        <f aca="false">COUNTIF(V_W_Q7_Zuord,A40)</f>
        <v>0</v>
      </c>
      <c r="D40" s="28" t="s">
        <v>63</v>
      </c>
      <c r="E40" s="28" t="n">
        <v>45</v>
      </c>
      <c r="F40" s="29" t="s">
        <v>65</v>
      </c>
      <c r="G40" s="30" t="n">
        <v>4</v>
      </c>
      <c r="H40" s="28" t="n">
        <f aca="false">IF(TRIM(F40)="",0,1)</f>
        <v>1</v>
      </c>
      <c r="I40" s="28" t="n">
        <f aca="false">COUNT(G40:G40)</f>
        <v>1</v>
      </c>
      <c r="J40" s="28" t="n">
        <f aca="false">IF(I40 &gt;= H40,0,1)</f>
        <v>0</v>
      </c>
      <c r="K40" s="28" t="n">
        <f aca="false">IF(AND(I40 &gt; 0,H40=0),1,0)</f>
        <v>0</v>
      </c>
      <c r="L40" s="28"/>
      <c r="M40" s="28"/>
      <c r="N40" s="28"/>
      <c r="O40" s="28"/>
      <c r="P40" s="28"/>
      <c r="Q40" s="28"/>
      <c r="R40" s="28"/>
      <c r="S40" s="28"/>
      <c r="T40" s="28"/>
    </row>
    <row r="41" customFormat="false" ht="11.25" hidden="false" customHeight="false" outlineLevel="0" collapsed="false">
      <c r="A41" s="6" t="n">
        <v>41</v>
      </c>
      <c r="B41" s="6" t="n">
        <f aca="false">Codestufen!C42</f>
        <v>0</v>
      </c>
      <c r="C41" s="6" t="n">
        <f aca="false">COUNTIF(V_W_Q7_Zuord,A41)</f>
        <v>0</v>
      </c>
      <c r="D41" s="28" t="s">
        <v>63</v>
      </c>
      <c r="E41" s="28" t="n">
        <v>49</v>
      </c>
      <c r="F41" s="29" t="s">
        <v>65</v>
      </c>
      <c r="G41" s="30" t="n">
        <v>4</v>
      </c>
      <c r="H41" s="28" t="n">
        <f aca="false">IF(TRIM(F41)="",0,1)</f>
        <v>1</v>
      </c>
      <c r="I41" s="28" t="n">
        <f aca="false">COUNT(G41:G41)</f>
        <v>1</v>
      </c>
      <c r="J41" s="28" t="n">
        <f aca="false">IF(I41 &gt;= H41,0,1)</f>
        <v>0</v>
      </c>
      <c r="K41" s="28" t="n">
        <f aca="false">IF(AND(I41 &gt; 0,H41=0),1,0)</f>
        <v>0</v>
      </c>
      <c r="L41" s="28"/>
      <c r="M41" s="28"/>
      <c r="N41" s="28"/>
      <c r="O41" s="28"/>
      <c r="P41" s="28"/>
      <c r="Q41" s="28"/>
      <c r="R41" s="28"/>
      <c r="S41" s="28"/>
      <c r="T41" s="28"/>
    </row>
    <row r="42" customFormat="false" ht="11.25" hidden="false" customHeight="false" outlineLevel="0" collapsed="false">
      <c r="A42" s="6" t="n">
        <v>42</v>
      </c>
      <c r="B42" s="6" t="n">
        <f aca="false">Codestufen!C43</f>
        <v>0</v>
      </c>
      <c r="C42" s="6" t="n">
        <f aca="false">COUNTIF(V_W_Q7_Zuord,A42)</f>
        <v>0</v>
      </c>
      <c r="D42" s="28" t="s">
        <v>63</v>
      </c>
      <c r="E42" s="28" t="n">
        <v>56</v>
      </c>
      <c r="F42" s="29" t="s">
        <v>65</v>
      </c>
      <c r="G42" s="30" t="n">
        <v>4</v>
      </c>
      <c r="H42" s="28" t="n">
        <f aca="false">IF(TRIM(F42)="",0,1)</f>
        <v>1</v>
      </c>
      <c r="I42" s="28" t="n">
        <f aca="false">COUNT(G42:G42)</f>
        <v>1</v>
      </c>
      <c r="J42" s="28" t="n">
        <f aca="false">IF(I42 &gt;= H42,0,1)</f>
        <v>0</v>
      </c>
      <c r="K42" s="28" t="n">
        <f aca="false">IF(AND(I42 &gt; 0,H42=0),1,0)</f>
        <v>0</v>
      </c>
      <c r="L42" s="28"/>
      <c r="M42" s="28"/>
      <c r="N42" s="28"/>
      <c r="O42" s="28"/>
      <c r="P42" s="28"/>
      <c r="Q42" s="28"/>
      <c r="R42" s="28"/>
      <c r="S42" s="28"/>
      <c r="T42" s="28"/>
    </row>
    <row r="43" customFormat="false" ht="11.25" hidden="false" customHeight="false" outlineLevel="0" collapsed="false">
      <c r="A43" s="6" t="n">
        <v>43</v>
      </c>
      <c r="B43" s="6" t="n">
        <f aca="false">Codestufen!C44</f>
        <v>0</v>
      </c>
      <c r="C43" s="6" t="n">
        <f aca="false">COUNTIF(V_W_Q7_Zuord,A43)</f>
        <v>0</v>
      </c>
      <c r="D43" s="28" t="s">
        <v>63</v>
      </c>
      <c r="E43" s="28" t="n">
        <v>66</v>
      </c>
      <c r="F43" s="29" t="s">
        <v>65</v>
      </c>
      <c r="G43" s="30" t="n">
        <v>4</v>
      </c>
      <c r="H43" s="28" t="n">
        <f aca="false">IF(TRIM(F43)="",0,1)</f>
        <v>1</v>
      </c>
      <c r="I43" s="28" t="n">
        <f aca="false">COUNT(G43:G43)</f>
        <v>1</v>
      </c>
      <c r="J43" s="28" t="n">
        <f aca="false">IF(I43 &gt;= H43,0,1)</f>
        <v>0</v>
      </c>
      <c r="K43" s="28" t="n">
        <f aca="false">IF(AND(I43 &gt; 0,H43=0),1,0)</f>
        <v>0</v>
      </c>
      <c r="L43" s="28"/>
      <c r="M43" s="28"/>
      <c r="N43" s="28"/>
      <c r="O43" s="28"/>
      <c r="P43" s="28"/>
      <c r="Q43" s="28"/>
      <c r="R43" s="28"/>
      <c r="S43" s="28"/>
      <c r="T43" s="28"/>
    </row>
    <row r="44" customFormat="false" ht="11.25" hidden="false" customHeight="false" outlineLevel="0" collapsed="false">
      <c r="A44" s="6" t="n">
        <v>44</v>
      </c>
      <c r="B44" s="6" t="n">
        <f aca="false">Codestufen!C45</f>
        <v>0</v>
      </c>
      <c r="C44" s="6" t="n">
        <f aca="false">COUNTIF(V_W_Q7_Zuord,A44)</f>
        <v>0</v>
      </c>
      <c r="D44" s="28" t="s">
        <v>63</v>
      </c>
      <c r="E44" s="28" t="n">
        <v>69</v>
      </c>
      <c r="F44" s="29" t="s">
        <v>65</v>
      </c>
      <c r="G44" s="30" t="n">
        <v>4</v>
      </c>
      <c r="H44" s="28" t="n">
        <f aca="false">IF(TRIM(F44)="",0,1)</f>
        <v>1</v>
      </c>
      <c r="I44" s="28" t="n">
        <f aca="false">COUNT(G44:G44)</f>
        <v>1</v>
      </c>
      <c r="J44" s="28" t="n">
        <f aca="false">IF(I44 &gt;= H44,0,1)</f>
        <v>0</v>
      </c>
      <c r="K44" s="28" t="n">
        <f aca="false">IF(AND(I44 &gt; 0,H44=0),1,0)</f>
        <v>0</v>
      </c>
      <c r="L44" s="28"/>
      <c r="M44" s="28"/>
      <c r="N44" s="28"/>
      <c r="O44" s="28"/>
      <c r="P44" s="28"/>
      <c r="Q44" s="28"/>
      <c r="R44" s="28"/>
      <c r="S44" s="28"/>
      <c r="T44" s="28"/>
    </row>
    <row r="45" customFormat="false" ht="11.25" hidden="false" customHeight="false" outlineLevel="0" collapsed="false">
      <c r="A45" s="6" t="n">
        <v>45</v>
      </c>
      <c r="B45" s="6" t="n">
        <f aca="false">Codestufen!C46</f>
        <v>0</v>
      </c>
      <c r="C45" s="6" t="n">
        <f aca="false">COUNTIF(V_W_Q7_Zuord,A45)</f>
        <v>0</v>
      </c>
      <c r="D45" s="28" t="s">
        <v>63</v>
      </c>
      <c r="E45" s="28" t="n">
        <v>98</v>
      </c>
      <c r="F45" s="29" t="s">
        <v>65</v>
      </c>
      <c r="G45" s="30" t="n">
        <v>4</v>
      </c>
      <c r="H45" s="28" t="n">
        <f aca="false">IF(TRIM(F45)="",0,1)</f>
        <v>1</v>
      </c>
      <c r="I45" s="28" t="n">
        <f aca="false">COUNT(G45:G45)</f>
        <v>1</v>
      </c>
      <c r="J45" s="28" t="n">
        <f aca="false">IF(I45 &gt;= H45,0,1)</f>
        <v>0</v>
      </c>
      <c r="K45" s="28" t="n">
        <f aca="false">IF(AND(I45 &gt; 0,H45=0),1,0)</f>
        <v>0</v>
      </c>
      <c r="L45" s="28"/>
      <c r="M45" s="28"/>
      <c r="N45" s="28"/>
      <c r="O45" s="28"/>
      <c r="P45" s="28"/>
      <c r="Q45" s="28"/>
      <c r="R45" s="28"/>
      <c r="S45" s="28"/>
      <c r="T45" s="28"/>
    </row>
    <row r="46" customFormat="false" ht="11.25" hidden="false" customHeight="false" outlineLevel="0" collapsed="false">
      <c r="A46" s="6" t="n">
        <v>46</v>
      </c>
      <c r="B46" s="6" t="n">
        <f aca="false">Codestufen!C47</f>
        <v>0</v>
      </c>
      <c r="C46" s="6" t="n">
        <f aca="false">COUNTIF(V_W_Q7_Zuord,A46)</f>
        <v>0</v>
      </c>
      <c r="D46" s="28" t="s">
        <v>63</v>
      </c>
      <c r="E46" s="28" t="n">
        <v>5</v>
      </c>
      <c r="F46" s="29" t="s">
        <v>66</v>
      </c>
      <c r="G46" s="30" t="n">
        <v>2</v>
      </c>
      <c r="H46" s="28" t="n">
        <f aca="false">IF(TRIM(F46)="",0,1)</f>
        <v>1</v>
      </c>
      <c r="I46" s="28" t="n">
        <f aca="false">COUNT(G46:G46)</f>
        <v>1</v>
      </c>
      <c r="J46" s="28" t="n">
        <f aca="false">IF(I46 &gt;= H46,0,1)</f>
        <v>0</v>
      </c>
      <c r="K46" s="28" t="n">
        <f aca="false">IF(AND(I46 &gt; 0,H46=0),1,0)</f>
        <v>0</v>
      </c>
      <c r="L46" s="28"/>
      <c r="M46" s="28"/>
      <c r="N46" s="28"/>
      <c r="O46" s="28"/>
      <c r="P46" s="28"/>
      <c r="Q46" s="28"/>
      <c r="R46" s="28"/>
      <c r="S46" s="28"/>
      <c r="T46" s="28"/>
    </row>
    <row r="47" customFormat="false" ht="11.25" hidden="false" customHeight="false" outlineLevel="0" collapsed="false">
      <c r="A47" s="6" t="n">
        <v>47</v>
      </c>
      <c r="B47" s="6" t="n">
        <f aca="false">Codestufen!C48</f>
        <v>0</v>
      </c>
      <c r="C47" s="6" t="n">
        <f aca="false">COUNTIF(V_W_Q7_Zuord,A47)</f>
        <v>0</v>
      </c>
      <c r="D47" s="28" t="s">
        <v>63</v>
      </c>
      <c r="E47" s="28" t="n">
        <v>11</v>
      </c>
      <c r="F47" s="29" t="s">
        <v>66</v>
      </c>
      <c r="G47" s="30" t="n">
        <v>2</v>
      </c>
      <c r="H47" s="28" t="n">
        <f aca="false">IF(TRIM(F47)="",0,1)</f>
        <v>1</v>
      </c>
      <c r="I47" s="28" t="n">
        <f aca="false">COUNT(G47:G47)</f>
        <v>1</v>
      </c>
      <c r="J47" s="28" t="n">
        <f aca="false">IF(I47 &gt;= H47,0,1)</f>
        <v>0</v>
      </c>
      <c r="K47" s="28" t="n">
        <f aca="false">IF(AND(I47 &gt; 0,H47=0),1,0)</f>
        <v>0</v>
      </c>
      <c r="L47" s="28"/>
      <c r="M47" s="28"/>
      <c r="N47" s="28"/>
      <c r="O47" s="28"/>
      <c r="P47" s="28"/>
      <c r="Q47" s="28"/>
      <c r="R47" s="28"/>
      <c r="S47" s="28"/>
      <c r="T47" s="28"/>
    </row>
    <row r="48" customFormat="false" ht="11.25" hidden="false" customHeight="false" outlineLevel="0" collapsed="false">
      <c r="A48" s="6" t="n">
        <v>48</v>
      </c>
      <c r="B48" s="6" t="n">
        <f aca="false">Codestufen!C49</f>
        <v>0</v>
      </c>
      <c r="C48" s="6" t="n">
        <f aca="false">COUNTIF(V_W_Q7_Zuord,A48)</f>
        <v>0</v>
      </c>
      <c r="D48" s="28" t="s">
        <v>63</v>
      </c>
      <c r="E48" s="28" t="n">
        <v>19</v>
      </c>
      <c r="F48" s="29" t="s">
        <v>66</v>
      </c>
      <c r="G48" s="30" t="n">
        <v>2</v>
      </c>
      <c r="H48" s="28" t="n">
        <f aca="false">IF(TRIM(F48)="",0,1)</f>
        <v>1</v>
      </c>
      <c r="I48" s="28" t="n">
        <f aca="false">COUNT(G48:G48)</f>
        <v>1</v>
      </c>
      <c r="J48" s="28" t="n">
        <f aca="false">IF(I48 &gt;= H48,0,1)</f>
        <v>0</v>
      </c>
      <c r="K48" s="28" t="n">
        <f aca="false">IF(AND(I48 &gt; 0,H48=0),1,0)</f>
        <v>0</v>
      </c>
      <c r="L48" s="28"/>
      <c r="M48" s="28"/>
      <c r="N48" s="28"/>
      <c r="O48" s="28"/>
      <c r="P48" s="28"/>
      <c r="Q48" s="28"/>
      <c r="R48" s="28"/>
      <c r="S48" s="28"/>
      <c r="T48" s="28"/>
    </row>
    <row r="49" customFormat="false" ht="11.25" hidden="false" customHeight="false" outlineLevel="0" collapsed="false">
      <c r="A49" s="6" t="n">
        <v>49</v>
      </c>
      <c r="B49" s="6" t="n">
        <f aca="false">Codestufen!C50</f>
        <v>0</v>
      </c>
      <c r="C49" s="6" t="n">
        <f aca="false">COUNTIF(V_W_Q7_Zuord,A49)</f>
        <v>0</v>
      </c>
      <c r="D49" s="28" t="s">
        <v>63</v>
      </c>
      <c r="E49" s="28" t="n">
        <v>29</v>
      </c>
      <c r="F49" s="29" t="s">
        <v>66</v>
      </c>
      <c r="G49" s="30" t="n">
        <v>2</v>
      </c>
      <c r="H49" s="28" t="n">
        <f aca="false">IF(TRIM(F49)="",0,1)</f>
        <v>1</v>
      </c>
      <c r="I49" s="28" t="n">
        <f aca="false">COUNT(G49:G49)</f>
        <v>1</v>
      </c>
      <c r="J49" s="28" t="n">
        <f aca="false">IF(I49 &gt;= H49,0,1)</f>
        <v>0</v>
      </c>
      <c r="K49" s="28" t="n">
        <f aca="false">IF(AND(I49 &gt; 0,H49=0),1,0)</f>
        <v>0</v>
      </c>
      <c r="L49" s="28"/>
      <c r="M49" s="28"/>
      <c r="N49" s="28"/>
      <c r="O49" s="28"/>
      <c r="P49" s="28"/>
      <c r="Q49" s="28"/>
      <c r="R49" s="28"/>
      <c r="S49" s="28"/>
      <c r="T49" s="28"/>
    </row>
    <row r="50" customFormat="false" ht="11.25" hidden="false" customHeight="false" outlineLevel="0" collapsed="false">
      <c r="A50" s="6" t="n">
        <v>50</v>
      </c>
      <c r="B50" s="6" t="n">
        <f aca="false">Codestufen!C51</f>
        <v>0</v>
      </c>
      <c r="C50" s="6" t="n">
        <f aca="false">COUNTIF(V_W_Q7_Zuord,A50)</f>
        <v>0</v>
      </c>
      <c r="D50" s="28" t="s">
        <v>63</v>
      </c>
      <c r="E50" s="28" t="n">
        <v>41</v>
      </c>
      <c r="F50" s="29" t="s">
        <v>66</v>
      </c>
      <c r="G50" s="30" t="n">
        <v>2</v>
      </c>
      <c r="H50" s="28" t="n">
        <f aca="false">IF(TRIM(F50)="",0,1)</f>
        <v>1</v>
      </c>
      <c r="I50" s="28" t="n">
        <f aca="false">COUNT(G50:G50)</f>
        <v>1</v>
      </c>
      <c r="J50" s="28" t="n">
        <f aca="false">IF(I50 &gt;= H50,0,1)</f>
        <v>0</v>
      </c>
      <c r="K50" s="28" t="n">
        <f aca="false">IF(AND(I50 &gt; 0,H50=0),1,0)</f>
        <v>0</v>
      </c>
      <c r="L50" s="28"/>
      <c r="M50" s="28"/>
      <c r="N50" s="28"/>
      <c r="O50" s="28"/>
      <c r="P50" s="28"/>
      <c r="Q50" s="28"/>
      <c r="R50" s="28"/>
      <c r="S50" s="28"/>
      <c r="T50" s="28"/>
    </row>
    <row r="51" customFormat="false" ht="11.25" hidden="false" customHeight="false" outlineLevel="0" collapsed="false">
      <c r="A51" s="6" t="n">
        <v>51</v>
      </c>
      <c r="B51" s="6" t="n">
        <f aca="false">Codestufen!C52</f>
        <v>0</v>
      </c>
      <c r="C51" s="6" t="n">
        <f aca="false">COUNTIF(V_W_Q7_Zuord,A51)</f>
        <v>0</v>
      </c>
      <c r="D51" s="28" t="s">
        <v>63</v>
      </c>
      <c r="E51" s="28" t="n">
        <v>46</v>
      </c>
      <c r="F51" s="29" t="s">
        <v>66</v>
      </c>
      <c r="G51" s="30" t="n">
        <v>2</v>
      </c>
      <c r="H51" s="28" t="n">
        <f aca="false">IF(TRIM(F51)="",0,1)</f>
        <v>1</v>
      </c>
      <c r="I51" s="28" t="n">
        <f aca="false">COUNT(G51:G51)</f>
        <v>1</v>
      </c>
      <c r="J51" s="28" t="n">
        <f aca="false">IF(I51 &gt;= H51,0,1)</f>
        <v>0</v>
      </c>
      <c r="K51" s="28" t="n">
        <f aca="false">IF(AND(I51 &gt; 0,H51=0),1,0)</f>
        <v>0</v>
      </c>
      <c r="L51" s="28"/>
      <c r="M51" s="28"/>
      <c r="N51" s="28"/>
      <c r="O51" s="28"/>
      <c r="P51" s="28"/>
      <c r="Q51" s="28"/>
      <c r="R51" s="28"/>
      <c r="S51" s="28"/>
      <c r="T51" s="28"/>
    </row>
    <row r="52" customFormat="false" ht="11.25" hidden="false" customHeight="false" outlineLevel="0" collapsed="false">
      <c r="A52" s="6" t="n">
        <v>52</v>
      </c>
      <c r="B52" s="6" t="n">
        <f aca="false">Codestufen!C53</f>
        <v>0</v>
      </c>
      <c r="C52" s="6" t="n">
        <f aca="false">COUNTIF(V_W_Q7_Zuord,A52)</f>
        <v>0</v>
      </c>
      <c r="D52" s="28" t="s">
        <v>63</v>
      </c>
      <c r="E52" s="28" t="n">
        <v>51</v>
      </c>
      <c r="F52" s="29" t="s">
        <v>66</v>
      </c>
      <c r="G52" s="30" t="n">
        <v>2</v>
      </c>
      <c r="H52" s="28" t="n">
        <f aca="false">IF(TRIM(F52)="",0,1)</f>
        <v>1</v>
      </c>
      <c r="I52" s="28" t="n">
        <f aca="false">COUNT(G52:G52)</f>
        <v>1</v>
      </c>
      <c r="J52" s="28" t="n">
        <f aca="false">IF(I52 &gt;= H52,0,1)</f>
        <v>0</v>
      </c>
      <c r="K52" s="28" t="n">
        <f aca="false">IF(AND(I52 &gt; 0,H52=0),1,0)</f>
        <v>0</v>
      </c>
      <c r="L52" s="28"/>
      <c r="M52" s="28"/>
      <c r="N52" s="28"/>
      <c r="O52" s="28"/>
      <c r="P52" s="28"/>
      <c r="Q52" s="28"/>
      <c r="R52" s="28"/>
      <c r="S52" s="28"/>
      <c r="T52" s="28"/>
    </row>
    <row r="53" customFormat="false" ht="11.25" hidden="false" customHeight="false" outlineLevel="0" collapsed="false">
      <c r="A53" s="6" t="n">
        <v>53</v>
      </c>
      <c r="B53" s="6" t="n">
        <f aca="false">Codestufen!C54</f>
        <v>0</v>
      </c>
      <c r="C53" s="6" t="n">
        <f aca="false">COUNTIF(V_W_Q7_Zuord,A53)</f>
        <v>0</v>
      </c>
      <c r="D53" s="28" t="s">
        <v>63</v>
      </c>
      <c r="E53" s="28" t="n">
        <v>57</v>
      </c>
      <c r="F53" s="29" t="s">
        <v>66</v>
      </c>
      <c r="G53" s="30" t="n">
        <v>2</v>
      </c>
      <c r="H53" s="28" t="n">
        <f aca="false">IF(TRIM(F53)="",0,1)</f>
        <v>1</v>
      </c>
      <c r="I53" s="28" t="n">
        <f aca="false">COUNT(G53:G53)</f>
        <v>1</v>
      </c>
      <c r="J53" s="28" t="n">
        <f aca="false">IF(I53 &gt;= H53,0,1)</f>
        <v>0</v>
      </c>
      <c r="K53" s="28" t="n">
        <f aca="false">IF(AND(I53 &gt; 0,H53=0),1,0)</f>
        <v>0</v>
      </c>
      <c r="L53" s="28"/>
      <c r="M53" s="28"/>
      <c r="N53" s="28"/>
      <c r="O53" s="28"/>
      <c r="P53" s="28"/>
      <c r="Q53" s="28"/>
      <c r="R53" s="28"/>
      <c r="S53" s="28"/>
      <c r="T53" s="28"/>
    </row>
    <row r="54" customFormat="false" ht="11.25" hidden="false" customHeight="false" outlineLevel="0" collapsed="false">
      <c r="A54" s="6" t="n">
        <v>54</v>
      </c>
      <c r="B54" s="6" t="n">
        <f aca="false">Codestufen!C55</f>
        <v>0</v>
      </c>
      <c r="C54" s="6" t="n">
        <f aca="false">COUNTIF(V_W_Q7_Zuord,A54)</f>
        <v>0</v>
      </c>
      <c r="D54" s="28" t="s">
        <v>63</v>
      </c>
      <c r="E54" s="28" t="n">
        <v>61</v>
      </c>
      <c r="F54" s="29" t="s">
        <v>66</v>
      </c>
      <c r="G54" s="30" t="n">
        <v>2</v>
      </c>
      <c r="H54" s="28" t="n">
        <f aca="false">IF(TRIM(F54)="",0,1)</f>
        <v>1</v>
      </c>
      <c r="I54" s="28" t="n">
        <f aca="false">COUNT(G54:G54)</f>
        <v>1</v>
      </c>
      <c r="J54" s="28" t="n">
        <f aca="false">IF(I54 &gt;= H54,0,1)</f>
        <v>0</v>
      </c>
      <c r="K54" s="28" t="n">
        <f aca="false">IF(AND(I54 &gt; 0,H54=0),1,0)</f>
        <v>0</v>
      </c>
      <c r="L54" s="28"/>
      <c r="M54" s="28"/>
      <c r="N54" s="28"/>
      <c r="O54" s="28"/>
      <c r="P54" s="28"/>
      <c r="Q54" s="28"/>
      <c r="R54" s="28"/>
      <c r="S54" s="28"/>
      <c r="T54" s="28"/>
    </row>
    <row r="55" customFormat="false" ht="11.25" hidden="false" customHeight="false" outlineLevel="0" collapsed="false">
      <c r="A55" s="6" t="n">
        <v>55</v>
      </c>
      <c r="B55" s="6" t="n">
        <f aca="false">Codestufen!C56</f>
        <v>0</v>
      </c>
      <c r="C55" s="6" t="n">
        <f aca="false">COUNTIF(V_W_Q7_Zuord,A55)</f>
        <v>0</v>
      </c>
      <c r="D55" s="28" t="s">
        <v>63</v>
      </c>
      <c r="E55" s="28" t="n">
        <v>63</v>
      </c>
      <c r="F55" s="29" t="s">
        <v>66</v>
      </c>
      <c r="G55" s="30" t="n">
        <v>2</v>
      </c>
      <c r="H55" s="28" t="n">
        <f aca="false">IF(TRIM(F55)="",0,1)</f>
        <v>1</v>
      </c>
      <c r="I55" s="28" t="n">
        <f aca="false">COUNT(G55:G55)</f>
        <v>1</v>
      </c>
      <c r="J55" s="28" t="n">
        <f aca="false">IF(I55 &gt;= H55,0,1)</f>
        <v>0</v>
      </c>
      <c r="K55" s="28" t="n">
        <f aca="false">IF(AND(I55 &gt; 0,H55=0),1,0)</f>
        <v>0</v>
      </c>
      <c r="L55" s="28"/>
      <c r="M55" s="28"/>
      <c r="N55" s="28"/>
      <c r="O55" s="28"/>
      <c r="P55" s="28"/>
      <c r="Q55" s="28"/>
      <c r="R55" s="28"/>
      <c r="S55" s="28"/>
      <c r="T55" s="28"/>
    </row>
    <row r="56" customFormat="false" ht="11.25" hidden="false" customHeight="false" outlineLevel="0" collapsed="false">
      <c r="A56" s="6" t="n">
        <v>56</v>
      </c>
      <c r="B56" s="6" t="n">
        <f aca="false">Codestufen!C57</f>
        <v>0</v>
      </c>
      <c r="C56" s="6" t="n">
        <f aca="false">COUNTIF(V_W_Q7_Zuord,A56)</f>
        <v>0</v>
      </c>
      <c r="D56" s="28" t="s">
        <v>63</v>
      </c>
      <c r="E56" s="28" t="n">
        <v>73</v>
      </c>
      <c r="F56" s="29" t="s">
        <v>66</v>
      </c>
      <c r="G56" s="30" t="n">
        <v>2</v>
      </c>
      <c r="H56" s="28" t="n">
        <f aca="false">IF(TRIM(F56)="",0,1)</f>
        <v>1</v>
      </c>
      <c r="I56" s="28" t="n">
        <f aca="false">COUNT(G56:G56)</f>
        <v>1</v>
      </c>
      <c r="J56" s="28" t="n">
        <f aca="false">IF(I56 &gt;= H56,0,1)</f>
        <v>0</v>
      </c>
      <c r="K56" s="28" t="n">
        <f aca="false">IF(AND(I56 &gt; 0,H56=0),1,0)</f>
        <v>0</v>
      </c>
      <c r="L56" s="28"/>
      <c r="M56" s="28"/>
      <c r="N56" s="28"/>
      <c r="O56" s="28"/>
      <c r="P56" s="28"/>
      <c r="Q56" s="28"/>
      <c r="R56" s="28"/>
      <c r="S56" s="28"/>
      <c r="T56" s="28"/>
    </row>
    <row r="57" customFormat="false" ht="11.25" hidden="false" customHeight="false" outlineLevel="0" collapsed="false">
      <c r="A57" s="6" t="n">
        <v>57</v>
      </c>
      <c r="B57" s="6" t="n">
        <f aca="false">Codestufen!C58</f>
        <v>0</v>
      </c>
      <c r="C57" s="6" t="n">
        <f aca="false">COUNTIF(V_W_Q7_Zuord,A57)</f>
        <v>0</v>
      </c>
      <c r="D57" s="28" t="s">
        <v>63</v>
      </c>
      <c r="E57" s="28" t="n">
        <v>75</v>
      </c>
      <c r="F57" s="29" t="s">
        <v>66</v>
      </c>
      <c r="G57" s="30" t="n">
        <v>2</v>
      </c>
      <c r="H57" s="28" t="n">
        <f aca="false">IF(TRIM(F57)="",0,1)</f>
        <v>1</v>
      </c>
      <c r="I57" s="28" t="n">
        <f aca="false">COUNT(G57:G57)</f>
        <v>1</v>
      </c>
      <c r="J57" s="28" t="n">
        <f aca="false">IF(I57 &gt;= H57,0,1)</f>
        <v>0</v>
      </c>
      <c r="K57" s="28" t="n">
        <f aca="false">IF(AND(I57 &gt; 0,H57=0),1,0)</f>
        <v>0</v>
      </c>
      <c r="L57" s="28"/>
      <c r="M57" s="28"/>
      <c r="N57" s="28"/>
      <c r="O57" s="28"/>
      <c r="P57" s="28"/>
      <c r="Q57" s="28"/>
      <c r="R57" s="28"/>
      <c r="S57" s="28"/>
      <c r="T57" s="28"/>
    </row>
    <row r="58" customFormat="false" ht="11.25" hidden="false" customHeight="false" outlineLevel="0" collapsed="false">
      <c r="A58" s="6" t="n">
        <v>58</v>
      </c>
      <c r="B58" s="6" t="n">
        <f aca="false">Codestufen!C59</f>
        <v>0</v>
      </c>
      <c r="C58" s="6" t="n">
        <f aca="false">COUNTIF(V_W_Q7_Zuord,A58)</f>
        <v>0</v>
      </c>
      <c r="D58" s="28" t="s">
        <v>63</v>
      </c>
      <c r="E58" s="28" t="n">
        <v>84</v>
      </c>
      <c r="F58" s="29" t="s">
        <v>66</v>
      </c>
      <c r="G58" s="30" t="n">
        <v>2</v>
      </c>
      <c r="H58" s="28" t="n">
        <f aca="false">IF(TRIM(F58)="",0,1)</f>
        <v>1</v>
      </c>
      <c r="I58" s="28" t="n">
        <f aca="false">COUNT(G58:G58)</f>
        <v>1</v>
      </c>
      <c r="J58" s="28" t="n">
        <f aca="false">IF(I58 &gt;= H58,0,1)</f>
        <v>0</v>
      </c>
      <c r="K58" s="28" t="n">
        <f aca="false">IF(AND(I58 &gt; 0,H58=0),1,0)</f>
        <v>0</v>
      </c>
      <c r="L58" s="28"/>
      <c r="M58" s="28"/>
      <c r="N58" s="28"/>
      <c r="O58" s="28"/>
      <c r="P58" s="28"/>
      <c r="Q58" s="28"/>
      <c r="R58" s="28"/>
      <c r="S58" s="28"/>
      <c r="T58" s="28"/>
    </row>
    <row r="59" customFormat="false" ht="11.25" hidden="false" customHeight="false" outlineLevel="0" collapsed="false">
      <c r="A59" s="6" t="n">
        <v>59</v>
      </c>
      <c r="B59" s="6" t="n">
        <f aca="false">Codestufen!C60</f>
        <v>0</v>
      </c>
      <c r="C59" s="6" t="n">
        <f aca="false">COUNTIF(V_W_Q7_Zuord,A59)</f>
        <v>0</v>
      </c>
      <c r="D59" s="28" t="s">
        <v>63</v>
      </c>
      <c r="E59" s="28" t="n">
        <v>92</v>
      </c>
      <c r="F59" s="29" t="s">
        <v>66</v>
      </c>
      <c r="G59" s="30" t="n">
        <v>2</v>
      </c>
      <c r="H59" s="28" t="n">
        <f aca="false">IF(TRIM(F59)="",0,1)</f>
        <v>1</v>
      </c>
      <c r="I59" s="28" t="n">
        <f aca="false">COUNT(G59:G59)</f>
        <v>1</v>
      </c>
      <c r="J59" s="28" t="n">
        <f aca="false">IF(I59 &gt;= H59,0,1)</f>
        <v>0</v>
      </c>
      <c r="K59" s="28" t="n">
        <f aca="false">IF(AND(I59 &gt; 0,H59=0),1,0)</f>
        <v>0</v>
      </c>
      <c r="L59" s="28"/>
      <c r="M59" s="28"/>
      <c r="N59" s="28"/>
      <c r="O59" s="28"/>
      <c r="P59" s="28"/>
      <c r="Q59" s="28"/>
      <c r="R59" s="28"/>
      <c r="S59" s="28"/>
      <c r="T59" s="28"/>
    </row>
    <row r="60" customFormat="false" ht="11.25" hidden="false" customHeight="false" outlineLevel="0" collapsed="false">
      <c r="A60" s="6" t="n">
        <v>60</v>
      </c>
      <c r="B60" s="6" t="n">
        <f aca="false">Codestufen!C61</f>
        <v>0</v>
      </c>
      <c r="C60" s="6" t="n">
        <f aca="false">COUNTIF(V_W_Q7_Zuord,A60)</f>
        <v>0</v>
      </c>
      <c r="D60" s="28" t="s">
        <v>63</v>
      </c>
      <c r="E60" s="28" t="n">
        <v>7</v>
      </c>
      <c r="F60" s="29" t="s">
        <v>67</v>
      </c>
      <c r="G60" s="30" t="n">
        <v>1</v>
      </c>
      <c r="H60" s="28" t="n">
        <f aca="false">IF(TRIM(F60)="",0,1)</f>
        <v>1</v>
      </c>
      <c r="I60" s="28" t="n">
        <f aca="false">COUNT(G60:G60)</f>
        <v>1</v>
      </c>
      <c r="J60" s="28" t="n">
        <f aca="false">IF(I60 &gt;= H60,0,1)</f>
        <v>0</v>
      </c>
      <c r="K60" s="28" t="n">
        <f aca="false">IF(AND(I60 &gt; 0,H60=0),1,0)</f>
        <v>0</v>
      </c>
      <c r="L60" s="28"/>
      <c r="M60" s="28"/>
      <c r="N60" s="28"/>
      <c r="O60" s="28"/>
      <c r="P60" s="28"/>
      <c r="Q60" s="28"/>
      <c r="R60" s="28"/>
      <c r="S60" s="28"/>
      <c r="T60" s="28"/>
    </row>
    <row r="61" customFormat="false" ht="11.25" hidden="false" customHeight="false" outlineLevel="0" collapsed="false">
      <c r="A61" s="6" t="n">
        <v>61</v>
      </c>
      <c r="B61" s="6" t="n">
        <f aca="false">Codestufen!C62</f>
        <v>0</v>
      </c>
      <c r="C61" s="6" t="n">
        <f aca="false">COUNTIF(V_W_Q7_Zuord,A61)</f>
        <v>0</v>
      </c>
      <c r="D61" s="28" t="s">
        <v>63</v>
      </c>
      <c r="E61" s="28" t="n">
        <v>9</v>
      </c>
      <c r="F61" s="29" t="s">
        <v>67</v>
      </c>
      <c r="G61" s="30" t="n">
        <v>1</v>
      </c>
      <c r="H61" s="28" t="n">
        <f aca="false">IF(TRIM(F61)="",0,1)</f>
        <v>1</v>
      </c>
      <c r="I61" s="28" t="n">
        <f aca="false">COUNT(G61:G61)</f>
        <v>1</v>
      </c>
      <c r="J61" s="28" t="n">
        <f aca="false">IF(I61 &gt;= H61,0,1)</f>
        <v>0</v>
      </c>
      <c r="K61" s="28" t="n">
        <f aca="false">IF(AND(I61 &gt; 0,H61=0),1,0)</f>
        <v>0</v>
      </c>
      <c r="L61" s="28"/>
      <c r="M61" s="28"/>
      <c r="N61" s="28"/>
      <c r="O61" s="28"/>
      <c r="P61" s="28"/>
      <c r="Q61" s="28"/>
      <c r="R61" s="28"/>
      <c r="S61" s="28"/>
      <c r="T61" s="28"/>
    </row>
    <row r="62" customFormat="false" ht="11.25" hidden="false" customHeight="false" outlineLevel="0" collapsed="false">
      <c r="A62" s="6" t="n">
        <v>62</v>
      </c>
      <c r="B62" s="6" t="n">
        <f aca="false">Codestufen!C63</f>
        <v>0</v>
      </c>
      <c r="C62" s="6" t="n">
        <f aca="false">COUNTIF(V_W_Q7_Zuord,A62)</f>
        <v>0</v>
      </c>
      <c r="D62" s="28" t="s">
        <v>63</v>
      </c>
      <c r="E62" s="28" t="n">
        <v>13</v>
      </c>
      <c r="F62" s="29" t="s">
        <v>67</v>
      </c>
      <c r="G62" s="30" t="n">
        <v>1</v>
      </c>
      <c r="H62" s="28" t="n">
        <f aca="false">IF(TRIM(F62)="",0,1)</f>
        <v>1</v>
      </c>
      <c r="I62" s="28" t="n">
        <f aca="false">COUNT(G62:G62)</f>
        <v>1</v>
      </c>
      <c r="J62" s="28" t="n">
        <f aca="false">IF(I62 &gt;= H62,0,1)</f>
        <v>0</v>
      </c>
      <c r="K62" s="28" t="n">
        <f aca="false">IF(AND(I62 &gt; 0,H62=0),1,0)</f>
        <v>0</v>
      </c>
      <c r="L62" s="28"/>
      <c r="M62" s="28"/>
      <c r="N62" s="28"/>
      <c r="O62" s="28"/>
      <c r="P62" s="28"/>
      <c r="Q62" s="28"/>
      <c r="R62" s="28"/>
      <c r="S62" s="28"/>
      <c r="T62" s="28"/>
    </row>
    <row r="63" customFormat="false" ht="11.25" hidden="false" customHeight="false" outlineLevel="0" collapsed="false">
      <c r="A63" s="6" t="n">
        <v>63</v>
      </c>
      <c r="B63" s="6" t="n">
        <f aca="false">Codestufen!C64</f>
        <v>0</v>
      </c>
      <c r="C63" s="6" t="n">
        <f aca="false">COUNTIF(V_W_Q7_Zuord,A63)</f>
        <v>0</v>
      </c>
      <c r="D63" s="28" t="s">
        <v>63</v>
      </c>
      <c r="E63" s="28" t="n">
        <v>16</v>
      </c>
      <c r="F63" s="29" t="s">
        <v>67</v>
      </c>
      <c r="G63" s="30" t="n">
        <v>1</v>
      </c>
      <c r="H63" s="28" t="n">
        <f aca="false">IF(TRIM(F63)="",0,1)</f>
        <v>1</v>
      </c>
      <c r="I63" s="28" t="n">
        <f aca="false">COUNT(G63:G63)</f>
        <v>1</v>
      </c>
      <c r="J63" s="28" t="n">
        <f aca="false">IF(I63 &gt;= H63,0,1)</f>
        <v>0</v>
      </c>
      <c r="K63" s="28" t="n">
        <f aca="false">IF(AND(I63 &gt; 0,H63=0),1,0)</f>
        <v>0</v>
      </c>
      <c r="L63" s="28"/>
      <c r="M63" s="28"/>
      <c r="N63" s="28"/>
      <c r="O63" s="28"/>
      <c r="P63" s="28"/>
      <c r="Q63" s="28"/>
      <c r="R63" s="28"/>
      <c r="S63" s="28"/>
      <c r="T63" s="28"/>
    </row>
    <row r="64" customFormat="false" ht="11.25" hidden="false" customHeight="false" outlineLevel="0" collapsed="false">
      <c r="A64" s="6" t="n">
        <v>64</v>
      </c>
      <c r="B64" s="6" t="n">
        <f aca="false">Codestufen!C65</f>
        <v>0</v>
      </c>
      <c r="C64" s="6" t="n">
        <f aca="false">COUNTIF(V_W_Q7_Zuord,A64)</f>
        <v>0</v>
      </c>
      <c r="D64" s="28" t="s">
        <v>63</v>
      </c>
      <c r="E64" s="28" t="n">
        <v>32</v>
      </c>
      <c r="F64" s="29" t="s">
        <v>67</v>
      </c>
      <c r="G64" s="30" t="n">
        <v>1</v>
      </c>
      <c r="H64" s="28" t="n">
        <f aca="false">IF(TRIM(F64)="",0,1)</f>
        <v>1</v>
      </c>
      <c r="I64" s="28" t="n">
        <f aca="false">COUNT(G64:G64)</f>
        <v>1</v>
      </c>
      <c r="J64" s="28" t="n">
        <f aca="false">IF(I64 &gt;= H64,0,1)</f>
        <v>0</v>
      </c>
      <c r="K64" s="28" t="n">
        <f aca="false">IF(AND(I64 &gt; 0,H64=0),1,0)</f>
        <v>0</v>
      </c>
      <c r="L64" s="28"/>
      <c r="M64" s="28"/>
      <c r="N64" s="28"/>
      <c r="O64" s="28"/>
      <c r="P64" s="28"/>
      <c r="Q64" s="28"/>
      <c r="R64" s="28"/>
      <c r="S64" s="28"/>
      <c r="T64" s="28"/>
    </row>
    <row r="65" customFormat="false" ht="11.25" hidden="false" customHeight="false" outlineLevel="0" collapsed="false">
      <c r="A65" s="6" t="n">
        <v>65</v>
      </c>
      <c r="B65" s="6" t="n">
        <f aca="false">Codestufen!C66</f>
        <v>0</v>
      </c>
      <c r="C65" s="6" t="n">
        <f aca="false">COUNTIF(V_W_Q7_Zuord,A65)</f>
        <v>0</v>
      </c>
      <c r="D65" s="28" t="s">
        <v>63</v>
      </c>
      <c r="E65" s="28" t="n">
        <v>48</v>
      </c>
      <c r="F65" s="29" t="s">
        <v>67</v>
      </c>
      <c r="G65" s="30" t="n">
        <v>1</v>
      </c>
      <c r="H65" s="28" t="n">
        <f aca="false">IF(TRIM(F65)="",0,1)</f>
        <v>1</v>
      </c>
      <c r="I65" s="28" t="n">
        <f aca="false">COUNT(G65:G65)</f>
        <v>1</v>
      </c>
      <c r="J65" s="28" t="n">
        <f aca="false">IF(I65 &gt;= H65,0,1)</f>
        <v>0</v>
      </c>
      <c r="K65" s="28" t="n">
        <f aca="false">IF(AND(I65 &gt; 0,H65=0),1,0)</f>
        <v>0</v>
      </c>
      <c r="L65" s="28"/>
      <c r="M65" s="28"/>
      <c r="N65" s="28"/>
      <c r="O65" s="28"/>
      <c r="P65" s="28"/>
      <c r="Q65" s="28"/>
      <c r="R65" s="28"/>
      <c r="S65" s="28"/>
      <c r="T65" s="28"/>
    </row>
    <row r="66" customFormat="false" ht="11.25" hidden="false" customHeight="false" outlineLevel="0" collapsed="false">
      <c r="A66" s="6" t="n">
        <v>66</v>
      </c>
      <c r="B66" s="6" t="n">
        <f aca="false">Codestufen!C67</f>
        <v>0</v>
      </c>
      <c r="C66" s="6" t="n">
        <f aca="false">COUNTIF(V_W_Q7_Zuord,A66)</f>
        <v>0</v>
      </c>
      <c r="D66" s="28" t="s">
        <v>63</v>
      </c>
      <c r="E66" s="28" t="n">
        <v>59</v>
      </c>
      <c r="F66" s="29" t="s">
        <v>67</v>
      </c>
      <c r="G66" s="30" t="n">
        <v>1</v>
      </c>
      <c r="H66" s="28" t="n">
        <f aca="false">IF(TRIM(F66)="",0,1)</f>
        <v>1</v>
      </c>
      <c r="I66" s="28" t="n">
        <f aca="false">COUNT(G66:G66)</f>
        <v>1</v>
      </c>
      <c r="J66" s="28" t="n">
        <f aca="false">IF(I66 &gt;= H66,0,1)</f>
        <v>0</v>
      </c>
      <c r="K66" s="28" t="n">
        <f aca="false">IF(AND(I66 &gt; 0,H66=0),1,0)</f>
        <v>0</v>
      </c>
      <c r="L66" s="28"/>
      <c r="M66" s="28"/>
      <c r="N66" s="28"/>
      <c r="O66" s="28"/>
      <c r="P66" s="28"/>
      <c r="Q66" s="28"/>
      <c r="R66" s="28"/>
      <c r="S66" s="28"/>
      <c r="T66" s="28"/>
    </row>
    <row r="67" customFormat="false" ht="11.25" hidden="false" customHeight="false" outlineLevel="0" collapsed="false">
      <c r="A67" s="6" t="n">
        <v>67</v>
      </c>
      <c r="B67" s="6" t="n">
        <f aca="false">Codestufen!C68</f>
        <v>0</v>
      </c>
      <c r="C67" s="6" t="n">
        <f aca="false">COUNTIF(V_W_Q7_Zuord,A67)</f>
        <v>0</v>
      </c>
      <c r="D67" s="28" t="s">
        <v>63</v>
      </c>
      <c r="E67" s="28" t="n">
        <v>79</v>
      </c>
      <c r="F67" s="29" t="s">
        <v>67</v>
      </c>
      <c r="G67" s="30" t="n">
        <v>1</v>
      </c>
      <c r="H67" s="28" t="n">
        <f aca="false">IF(TRIM(F67)="",0,1)</f>
        <v>1</v>
      </c>
      <c r="I67" s="28" t="n">
        <f aca="false">COUNT(G67:G67)</f>
        <v>1</v>
      </c>
      <c r="J67" s="28" t="n">
        <f aca="false">IF(I67 &gt;= H67,0,1)</f>
        <v>0</v>
      </c>
      <c r="K67" s="28" t="n">
        <f aca="false">IF(AND(I67 &gt; 0,H67=0),1,0)</f>
        <v>0</v>
      </c>
      <c r="L67" s="28"/>
      <c r="M67" s="28"/>
      <c r="N67" s="28"/>
      <c r="O67" s="28"/>
      <c r="P67" s="28"/>
      <c r="Q67" s="28"/>
      <c r="R67" s="28"/>
      <c r="S67" s="28"/>
      <c r="T67" s="28"/>
    </row>
    <row r="68" customFormat="false" ht="11.25" hidden="false" customHeight="false" outlineLevel="0" collapsed="false">
      <c r="A68" s="6" t="n">
        <v>68</v>
      </c>
      <c r="B68" s="6" t="n">
        <f aca="false">Codestufen!C69</f>
        <v>0</v>
      </c>
      <c r="C68" s="6" t="n">
        <f aca="false">COUNTIF(V_W_Q7_Zuord,A68)</f>
        <v>0</v>
      </c>
      <c r="D68" s="28" t="s">
        <v>63</v>
      </c>
      <c r="E68" s="28" t="n">
        <v>82</v>
      </c>
      <c r="F68" s="29" t="s">
        <v>67</v>
      </c>
      <c r="G68" s="30" t="n">
        <v>1</v>
      </c>
      <c r="H68" s="28" t="n">
        <f aca="false">IF(TRIM(F68)="",0,1)</f>
        <v>1</v>
      </c>
      <c r="I68" s="28" t="n">
        <f aca="false">COUNT(G68:G68)</f>
        <v>1</v>
      </c>
      <c r="J68" s="28" t="n">
        <f aca="false">IF(I68 &gt;= H68,0,1)</f>
        <v>0</v>
      </c>
      <c r="K68" s="28" t="n">
        <f aca="false">IF(AND(I68 &gt; 0,H68=0),1,0)</f>
        <v>0</v>
      </c>
      <c r="L68" s="28"/>
      <c r="M68" s="28"/>
      <c r="N68" s="28"/>
      <c r="O68" s="28"/>
      <c r="P68" s="28"/>
      <c r="Q68" s="28"/>
      <c r="R68" s="28"/>
      <c r="S68" s="28"/>
      <c r="T68" s="28"/>
    </row>
    <row r="69" customFormat="false" ht="11.25" hidden="false" customHeight="false" outlineLevel="0" collapsed="false">
      <c r="A69" s="6" t="n">
        <v>69</v>
      </c>
      <c r="B69" s="6" t="n">
        <f aca="false">Codestufen!C70</f>
        <v>0</v>
      </c>
      <c r="C69" s="6" t="n">
        <f aca="false">COUNTIF(V_W_Q7_Zuord,A69)</f>
        <v>0</v>
      </c>
      <c r="D69" s="28" t="s">
        <v>63</v>
      </c>
      <c r="E69" s="28" t="n">
        <v>91</v>
      </c>
      <c r="F69" s="29" t="s">
        <v>67</v>
      </c>
      <c r="G69" s="30" t="n">
        <v>1</v>
      </c>
      <c r="H69" s="28" t="n">
        <f aca="false">IF(TRIM(F69)="",0,1)</f>
        <v>1</v>
      </c>
      <c r="I69" s="28" t="n">
        <f aca="false">COUNT(G69:G69)</f>
        <v>1</v>
      </c>
      <c r="J69" s="28" t="n">
        <f aca="false">IF(I69 &gt;= H69,0,1)</f>
        <v>0</v>
      </c>
      <c r="K69" s="28" t="n">
        <f aca="false">IF(AND(I69 &gt; 0,H69=0),1,0)</f>
        <v>0</v>
      </c>
      <c r="L69" s="28"/>
      <c r="M69" s="28"/>
      <c r="N69" s="28"/>
      <c r="O69" s="28"/>
      <c r="P69" s="28"/>
      <c r="Q69" s="28"/>
      <c r="R69" s="28"/>
      <c r="S69" s="28"/>
      <c r="T69" s="28"/>
    </row>
    <row r="70" customFormat="false" ht="11.25" hidden="false" customHeight="false" outlineLevel="0" collapsed="false">
      <c r="A70" s="6" t="n">
        <v>70</v>
      </c>
      <c r="B70" s="6" t="n">
        <f aca="false">Codestufen!C71</f>
        <v>0</v>
      </c>
      <c r="C70" s="6" t="n">
        <f aca="false">COUNTIF(V_W_Q7_Zuord,A70)</f>
        <v>0</v>
      </c>
      <c r="D70" s="28" t="s">
        <v>63</v>
      </c>
      <c r="E70" s="28" t="n">
        <v>99</v>
      </c>
      <c r="F70" s="29" t="s">
        <v>67</v>
      </c>
      <c r="G70" s="30" t="n">
        <v>1</v>
      </c>
      <c r="H70" s="28" t="n">
        <f aca="false">IF(TRIM(F70)="",0,1)</f>
        <v>1</v>
      </c>
      <c r="I70" s="28" t="n">
        <f aca="false">COUNT(G70:G70)</f>
        <v>1</v>
      </c>
      <c r="J70" s="28" t="n">
        <f aca="false">IF(I70 &gt;= H70,0,1)</f>
        <v>0</v>
      </c>
      <c r="K70" s="28" t="n">
        <f aca="false">IF(AND(I70 &gt; 0,H70=0),1,0)</f>
        <v>0</v>
      </c>
      <c r="L70" s="28"/>
      <c r="M70" s="28"/>
      <c r="N70" s="28"/>
      <c r="O70" s="28"/>
      <c r="P70" s="28"/>
      <c r="Q70" s="28"/>
      <c r="R70" s="28"/>
      <c r="S70" s="28"/>
      <c r="T70" s="28"/>
    </row>
    <row r="71" customFormat="false" ht="11.25" hidden="false" customHeight="false" outlineLevel="0" collapsed="false">
      <c r="A71" s="6" t="n">
        <v>71</v>
      </c>
      <c r="B71" s="6" t="n">
        <f aca="false">Codestufen!C72</f>
        <v>0</v>
      </c>
      <c r="C71" s="6" t="n">
        <f aca="false">COUNTIF(V_W_Q7_Zuord,A71)</f>
        <v>0</v>
      </c>
      <c r="D71" s="28" t="s">
        <v>63</v>
      </c>
      <c r="E71" s="28" t="n">
        <v>17</v>
      </c>
      <c r="F71" s="29" t="s">
        <v>68</v>
      </c>
      <c r="G71" s="30" t="n">
        <v>4</v>
      </c>
      <c r="H71" s="28" t="n">
        <f aca="false">IF(TRIM(F71)="",0,1)</f>
        <v>1</v>
      </c>
      <c r="I71" s="28" t="n">
        <f aca="false">COUNT(G71:G71)</f>
        <v>1</v>
      </c>
      <c r="J71" s="28" t="n">
        <f aca="false">IF(I71 &gt;= H71,0,1)</f>
        <v>0</v>
      </c>
      <c r="K71" s="28" t="n">
        <f aca="false">IF(AND(I71 &gt; 0,H71=0),1,0)</f>
        <v>0</v>
      </c>
      <c r="L71" s="28"/>
      <c r="M71" s="28"/>
      <c r="N71" s="28"/>
      <c r="O71" s="28"/>
      <c r="P71" s="28"/>
      <c r="Q71" s="28"/>
      <c r="R71" s="28"/>
      <c r="S71" s="28"/>
      <c r="T71" s="28"/>
    </row>
    <row r="72" customFormat="false" ht="11.25" hidden="false" customHeight="false" outlineLevel="0" collapsed="false">
      <c r="A72" s="6" t="n">
        <v>72</v>
      </c>
      <c r="B72" s="6" t="n">
        <f aca="false">Codestufen!C73</f>
        <v>0</v>
      </c>
      <c r="C72" s="6" t="n">
        <f aca="false">COUNTIF(V_W_Q7_Zuord,A72)</f>
        <v>0</v>
      </c>
      <c r="D72" s="28" t="s">
        <v>63</v>
      </c>
      <c r="E72" s="28" t="n">
        <v>25</v>
      </c>
      <c r="F72" s="29" t="s">
        <v>68</v>
      </c>
      <c r="G72" s="30" t="n">
        <v>4</v>
      </c>
      <c r="H72" s="28" t="n">
        <f aca="false">IF(TRIM(F72)="",0,1)</f>
        <v>1</v>
      </c>
      <c r="I72" s="28" t="n">
        <f aca="false">COUNT(G72:G72)</f>
        <v>1</v>
      </c>
      <c r="J72" s="28" t="n">
        <f aca="false">IF(I72 &gt;= H72,0,1)</f>
        <v>0</v>
      </c>
      <c r="K72" s="28" t="n">
        <f aca="false">IF(AND(I72 &gt; 0,H72=0),1,0)</f>
        <v>0</v>
      </c>
      <c r="L72" s="28"/>
      <c r="M72" s="28"/>
      <c r="N72" s="28"/>
      <c r="O72" s="28"/>
      <c r="P72" s="28"/>
      <c r="Q72" s="28"/>
      <c r="R72" s="28"/>
      <c r="S72" s="28"/>
      <c r="T72" s="28"/>
    </row>
    <row r="73" customFormat="false" ht="11.25" hidden="false" customHeight="false" outlineLevel="0" collapsed="false">
      <c r="A73" s="6" t="n">
        <v>73</v>
      </c>
      <c r="B73" s="6" t="n">
        <f aca="false">Codestufen!C74</f>
        <v>0</v>
      </c>
      <c r="C73" s="6" t="n">
        <f aca="false">COUNTIF(V_W_Q7_Zuord,A73)</f>
        <v>0</v>
      </c>
      <c r="D73" s="28" t="s">
        <v>63</v>
      </c>
      <c r="E73" s="28" t="n">
        <v>31</v>
      </c>
      <c r="F73" s="29" t="s">
        <v>68</v>
      </c>
      <c r="G73" s="30" t="n">
        <v>4</v>
      </c>
      <c r="H73" s="28" t="n">
        <f aca="false">IF(TRIM(F73)="",0,1)</f>
        <v>1</v>
      </c>
      <c r="I73" s="28" t="n">
        <f aca="false">COUNT(G73:G73)</f>
        <v>1</v>
      </c>
      <c r="J73" s="28" t="n">
        <f aca="false">IF(I73 &gt;= H73,0,1)</f>
        <v>0</v>
      </c>
      <c r="K73" s="28" t="n">
        <f aca="false">IF(AND(I73 &gt; 0,H73=0),1,0)</f>
        <v>0</v>
      </c>
      <c r="L73" s="28"/>
      <c r="M73" s="28"/>
      <c r="N73" s="28"/>
      <c r="O73" s="28"/>
      <c r="P73" s="28"/>
      <c r="Q73" s="28"/>
      <c r="R73" s="28"/>
      <c r="S73" s="28"/>
      <c r="T73" s="28"/>
    </row>
    <row r="74" customFormat="false" ht="11.25" hidden="false" customHeight="false" outlineLevel="0" collapsed="false">
      <c r="A74" s="6" t="n">
        <v>74</v>
      </c>
      <c r="B74" s="6" t="n">
        <f aca="false">Codestufen!C75</f>
        <v>0</v>
      </c>
      <c r="C74" s="6" t="n">
        <f aca="false">COUNTIF(V_W_Q7_Zuord,A74)</f>
        <v>0</v>
      </c>
      <c r="D74" s="28" t="s">
        <v>63</v>
      </c>
      <c r="E74" s="28" t="n">
        <v>54</v>
      </c>
      <c r="F74" s="29" t="s">
        <v>68</v>
      </c>
      <c r="G74" s="30" t="n">
        <v>4</v>
      </c>
      <c r="H74" s="28" t="n">
        <f aca="false">IF(TRIM(F74)="",0,1)</f>
        <v>1</v>
      </c>
      <c r="I74" s="28" t="n">
        <f aca="false">COUNT(G74:G74)</f>
        <v>1</v>
      </c>
      <c r="J74" s="28" t="n">
        <f aca="false">IF(I74 &gt;= H74,0,1)</f>
        <v>0</v>
      </c>
      <c r="K74" s="28" t="n">
        <f aca="false">IF(AND(I74 &gt; 0,H74=0),1,0)</f>
        <v>0</v>
      </c>
      <c r="L74" s="28"/>
      <c r="M74" s="28"/>
      <c r="N74" s="28"/>
      <c r="O74" s="28"/>
      <c r="P74" s="28"/>
      <c r="Q74" s="28"/>
      <c r="R74" s="28"/>
      <c r="S74" s="28"/>
      <c r="T74" s="28"/>
    </row>
    <row r="75" customFormat="false" ht="11.25" hidden="false" customHeight="false" outlineLevel="0" collapsed="false">
      <c r="A75" s="6" t="n">
        <v>75</v>
      </c>
      <c r="B75" s="6" t="n">
        <f aca="false">Codestufen!C76</f>
        <v>0</v>
      </c>
      <c r="C75" s="6" t="n">
        <f aca="false">COUNTIF(V_W_Q7_Zuord,A75)</f>
        <v>0</v>
      </c>
      <c r="D75" s="28" t="s">
        <v>63</v>
      </c>
      <c r="E75" s="28" t="n">
        <v>71</v>
      </c>
      <c r="F75" s="29" t="s">
        <v>68</v>
      </c>
      <c r="G75" s="30" t="n">
        <v>4</v>
      </c>
      <c r="H75" s="28" t="n">
        <f aca="false">IF(TRIM(F75)="",0,1)</f>
        <v>1</v>
      </c>
      <c r="I75" s="28" t="n">
        <f aca="false">COUNT(G75:G75)</f>
        <v>1</v>
      </c>
      <c r="J75" s="28" t="n">
        <f aca="false">IF(I75 &gt;= H75,0,1)</f>
        <v>0</v>
      </c>
      <c r="K75" s="28" t="n">
        <f aca="false">IF(AND(I75 &gt; 0,H75=0),1,0)</f>
        <v>0</v>
      </c>
      <c r="L75" s="28"/>
      <c r="M75" s="28"/>
      <c r="N75" s="28"/>
      <c r="O75" s="28"/>
      <c r="P75" s="28"/>
      <c r="Q75" s="28"/>
      <c r="R75" s="28"/>
      <c r="S75" s="28"/>
      <c r="T75" s="28"/>
    </row>
    <row r="76" customFormat="false" ht="11.25" hidden="false" customHeight="false" outlineLevel="0" collapsed="false">
      <c r="A76" s="6" t="n">
        <v>76</v>
      </c>
      <c r="B76" s="6" t="n">
        <f aca="false">Codestufen!C77</f>
        <v>0</v>
      </c>
      <c r="C76" s="6" t="n">
        <f aca="false">COUNTIF(V_W_Q7_Zuord,A76)</f>
        <v>0</v>
      </c>
      <c r="D76" s="28" t="s">
        <v>63</v>
      </c>
      <c r="E76" s="28" t="n">
        <v>81</v>
      </c>
      <c r="F76" s="29" t="s">
        <v>68</v>
      </c>
      <c r="G76" s="30" t="n">
        <v>4</v>
      </c>
      <c r="H76" s="28" t="n">
        <f aca="false">IF(TRIM(F76)="",0,1)</f>
        <v>1</v>
      </c>
      <c r="I76" s="28" t="n">
        <f aca="false">COUNT(G76:G76)</f>
        <v>1</v>
      </c>
      <c r="J76" s="28" t="n">
        <f aca="false">IF(I76 &gt;= H76,0,1)</f>
        <v>0</v>
      </c>
      <c r="K76" s="28" t="n">
        <f aca="false">IF(AND(I76 &gt; 0,H76=0),1,0)</f>
        <v>0</v>
      </c>
      <c r="L76" s="28"/>
      <c r="M76" s="28"/>
      <c r="N76" s="28"/>
      <c r="O76" s="28"/>
      <c r="P76" s="28"/>
      <c r="Q76" s="28"/>
      <c r="R76" s="28"/>
      <c r="S76" s="28"/>
      <c r="T76" s="28"/>
    </row>
    <row r="77" customFormat="false" ht="11.25" hidden="false" customHeight="false" outlineLevel="0" collapsed="false">
      <c r="A77" s="6" t="n">
        <v>77</v>
      </c>
      <c r="B77" s="6" t="n">
        <f aca="false">Codestufen!C78</f>
        <v>0</v>
      </c>
      <c r="C77" s="6" t="n">
        <f aca="false">COUNTIF(V_W_Q7_Zuord,A77)</f>
        <v>0</v>
      </c>
      <c r="D77" s="28" t="s">
        <v>63</v>
      </c>
      <c r="E77" s="28" t="n">
        <v>94</v>
      </c>
      <c r="F77" s="29" t="s">
        <v>68</v>
      </c>
      <c r="G77" s="30" t="n">
        <v>4</v>
      </c>
      <c r="H77" s="28" t="n">
        <f aca="false">IF(TRIM(F77)="",0,1)</f>
        <v>1</v>
      </c>
      <c r="I77" s="28" t="n">
        <f aca="false">COUNT(G77:G77)</f>
        <v>1</v>
      </c>
      <c r="J77" s="28" t="n">
        <f aca="false">IF(I77 &gt;= H77,0,1)</f>
        <v>0</v>
      </c>
      <c r="K77" s="28" t="n">
        <f aca="false">IF(AND(I77 &gt; 0,H77=0),1,0)</f>
        <v>0</v>
      </c>
      <c r="L77" s="28"/>
      <c r="M77" s="28"/>
      <c r="N77" s="28"/>
      <c r="O77" s="28"/>
      <c r="P77" s="28"/>
      <c r="Q77" s="28"/>
      <c r="R77" s="28"/>
      <c r="S77" s="28"/>
      <c r="T77" s="28"/>
    </row>
    <row r="78" customFormat="false" ht="11.25" hidden="false" customHeight="false" outlineLevel="0" collapsed="false">
      <c r="A78" s="6" t="n">
        <v>78</v>
      </c>
      <c r="B78" s="6" t="n">
        <f aca="false">Codestufen!C79</f>
        <v>0</v>
      </c>
      <c r="C78" s="6" t="n">
        <f aca="false">COUNTIF(V_W_Q7_Zuord,A78)</f>
        <v>0</v>
      </c>
      <c r="D78" s="28" t="s">
        <v>63</v>
      </c>
      <c r="E78" s="28" t="n">
        <v>18</v>
      </c>
      <c r="F78" s="29" t="s">
        <v>69</v>
      </c>
      <c r="G78" s="30" t="n">
        <v>2</v>
      </c>
      <c r="H78" s="28" t="n">
        <f aca="false">IF(TRIM(F78)="",0,1)</f>
        <v>1</v>
      </c>
      <c r="I78" s="28" t="n">
        <f aca="false">COUNT(G78:G78)</f>
        <v>1</v>
      </c>
      <c r="J78" s="28" t="n">
        <f aca="false">IF(I78 &gt;= H78,0,1)</f>
        <v>0</v>
      </c>
      <c r="K78" s="28" t="n">
        <f aca="false">IF(AND(I78 &gt; 0,H78=0),1,0)</f>
        <v>0</v>
      </c>
      <c r="L78" s="28"/>
      <c r="M78" s="28"/>
      <c r="N78" s="28"/>
      <c r="O78" s="28"/>
      <c r="P78" s="28"/>
      <c r="Q78" s="28"/>
      <c r="R78" s="28"/>
      <c r="S78" s="28"/>
      <c r="T78" s="28"/>
    </row>
    <row r="79" customFormat="false" ht="11.25" hidden="false" customHeight="false" outlineLevel="0" collapsed="false">
      <c r="A79" s="6" t="n">
        <v>79</v>
      </c>
      <c r="B79" s="6" t="n">
        <f aca="false">Codestufen!C80</f>
        <v>0</v>
      </c>
      <c r="C79" s="6" t="n">
        <f aca="false">COUNTIF(V_W_Q7_Zuord,A79)</f>
        <v>0</v>
      </c>
      <c r="D79" s="28" t="s">
        <v>63</v>
      </c>
      <c r="E79" s="28" t="n">
        <v>21</v>
      </c>
      <c r="F79" s="29" t="s">
        <v>69</v>
      </c>
      <c r="G79" s="30" t="n">
        <v>2</v>
      </c>
      <c r="H79" s="28" t="n">
        <f aca="false">IF(TRIM(F79)="",0,1)</f>
        <v>1</v>
      </c>
      <c r="I79" s="28" t="n">
        <f aca="false">COUNT(G79:G79)</f>
        <v>1</v>
      </c>
      <c r="J79" s="28" t="n">
        <f aca="false">IF(I79 &gt;= H79,0,1)</f>
        <v>0</v>
      </c>
      <c r="K79" s="28" t="n">
        <f aca="false">IF(AND(I79 &gt; 0,H79=0),1,0)</f>
        <v>0</v>
      </c>
      <c r="L79" s="28"/>
      <c r="M79" s="28"/>
      <c r="N79" s="28"/>
      <c r="O79" s="28"/>
      <c r="P79" s="28"/>
      <c r="Q79" s="28"/>
      <c r="R79" s="28"/>
      <c r="S79" s="28"/>
      <c r="T79" s="28"/>
    </row>
    <row r="80" customFormat="false" ht="11.25" hidden="false" customHeight="false" outlineLevel="0" collapsed="false">
      <c r="A80" s="6" t="n">
        <v>80</v>
      </c>
      <c r="B80" s="6" t="n">
        <f aca="false">Codestufen!C81</f>
        <v>0</v>
      </c>
      <c r="C80" s="6" t="n">
        <f aca="false">COUNTIF(V_W_Q7_Zuord,A80)</f>
        <v>0</v>
      </c>
      <c r="D80" s="28" t="s">
        <v>63</v>
      </c>
      <c r="E80" s="28" t="n">
        <v>33</v>
      </c>
      <c r="F80" s="29" t="s">
        <v>69</v>
      </c>
      <c r="G80" s="30" t="n">
        <v>2</v>
      </c>
      <c r="H80" s="28" t="n">
        <f aca="false">IF(TRIM(F80)="",0,1)</f>
        <v>1</v>
      </c>
      <c r="I80" s="28" t="n">
        <f aca="false">COUNT(G80:G80)</f>
        <v>1</v>
      </c>
      <c r="J80" s="28" t="n">
        <f aca="false">IF(I80 &gt;= H80,0,1)</f>
        <v>0</v>
      </c>
      <c r="K80" s="28" t="n">
        <f aca="false">IF(AND(I80 &gt; 0,H80=0),1,0)</f>
        <v>0</v>
      </c>
      <c r="L80" s="28"/>
      <c r="M80" s="28"/>
      <c r="N80" s="28"/>
      <c r="O80" s="28"/>
      <c r="P80" s="28"/>
      <c r="Q80" s="28"/>
      <c r="R80" s="28"/>
      <c r="S80" s="28"/>
      <c r="T80" s="28"/>
    </row>
    <row r="81" customFormat="false" ht="11.25" hidden="false" customHeight="false" outlineLevel="0" collapsed="false">
      <c r="A81" s="6" t="n">
        <v>81</v>
      </c>
      <c r="B81" s="6" t="n">
        <f aca="false">Codestufen!C82</f>
        <v>0</v>
      </c>
      <c r="C81" s="6" t="n">
        <f aca="false">COUNTIF(V_W_Q7_Zuord,A81)</f>
        <v>0</v>
      </c>
      <c r="D81" s="28" t="s">
        <v>63</v>
      </c>
      <c r="E81" s="28" t="n">
        <v>67</v>
      </c>
      <c r="F81" s="29" t="s">
        <v>69</v>
      </c>
      <c r="G81" s="30" t="n">
        <v>2</v>
      </c>
      <c r="H81" s="28" t="n">
        <f aca="false">IF(TRIM(F81)="",0,1)</f>
        <v>1</v>
      </c>
      <c r="I81" s="28" t="n">
        <f aca="false">COUNT(G81:G81)</f>
        <v>1</v>
      </c>
      <c r="J81" s="28" t="n">
        <f aca="false">IF(I81 &gt;= H81,0,1)</f>
        <v>0</v>
      </c>
      <c r="K81" s="28" t="n">
        <f aca="false">IF(AND(I81 &gt; 0,H81=0),1,0)</f>
        <v>0</v>
      </c>
      <c r="L81" s="28"/>
      <c r="M81" s="28"/>
      <c r="N81" s="28"/>
      <c r="O81" s="28"/>
      <c r="P81" s="28"/>
      <c r="Q81" s="28"/>
      <c r="R81" s="28"/>
      <c r="S81" s="28"/>
      <c r="T81" s="28"/>
    </row>
    <row r="82" customFormat="false" ht="11.25" hidden="false" customHeight="false" outlineLevel="0" collapsed="false">
      <c r="A82" s="6" t="n">
        <v>82</v>
      </c>
      <c r="B82" s="6" t="n">
        <f aca="false">Codestufen!C83</f>
        <v>0</v>
      </c>
      <c r="C82" s="6" t="n">
        <f aca="false">COUNTIF(V_W_Q7_Zuord,A82)</f>
        <v>0</v>
      </c>
      <c r="D82" s="28" t="s">
        <v>63</v>
      </c>
      <c r="E82" s="28" t="n">
        <v>68</v>
      </c>
      <c r="F82" s="29" t="s">
        <v>69</v>
      </c>
      <c r="G82" s="30" t="n">
        <v>2</v>
      </c>
      <c r="H82" s="28" t="n">
        <f aca="false">IF(TRIM(F82)="",0,1)</f>
        <v>1</v>
      </c>
      <c r="I82" s="28" t="n">
        <f aca="false">COUNT(G82:G82)</f>
        <v>1</v>
      </c>
      <c r="J82" s="28" t="n">
        <f aca="false">IF(I82 &gt;= H82,0,1)</f>
        <v>0</v>
      </c>
      <c r="K82" s="28" t="n">
        <f aca="false">IF(AND(I82 &gt; 0,H82=0),1,0)</f>
        <v>0</v>
      </c>
      <c r="L82" s="28"/>
      <c r="M82" s="28"/>
      <c r="N82" s="28"/>
      <c r="O82" s="28"/>
      <c r="P82" s="28"/>
      <c r="Q82" s="28"/>
      <c r="R82" s="28"/>
      <c r="S82" s="28"/>
      <c r="T82" s="28"/>
    </row>
    <row r="83" customFormat="false" ht="11.25" hidden="false" customHeight="false" outlineLevel="0" collapsed="false">
      <c r="A83" s="6" t="n">
        <v>83</v>
      </c>
      <c r="B83" s="6" t="n">
        <f aca="false">Codestufen!C84</f>
        <v>0</v>
      </c>
      <c r="C83" s="6" t="n">
        <f aca="false">COUNTIF(V_W_Q7_Zuord,A83)</f>
        <v>0</v>
      </c>
      <c r="D83" s="28" t="s">
        <v>63</v>
      </c>
      <c r="E83" s="28" t="n">
        <v>90</v>
      </c>
      <c r="F83" s="29" t="s">
        <v>69</v>
      </c>
      <c r="G83" s="30" t="n">
        <v>2</v>
      </c>
      <c r="H83" s="28" t="n">
        <f aca="false">IF(TRIM(F83)="",0,1)</f>
        <v>1</v>
      </c>
      <c r="I83" s="28" t="n">
        <f aca="false">COUNT(G83:G83)</f>
        <v>1</v>
      </c>
      <c r="J83" s="28" t="n">
        <f aca="false">IF(I83 &gt;= H83,0,1)</f>
        <v>0</v>
      </c>
      <c r="K83" s="28" t="n">
        <f aca="false">IF(AND(I83 &gt; 0,H83=0),1,0)</f>
        <v>0</v>
      </c>
      <c r="L83" s="28"/>
      <c r="M83" s="28"/>
      <c r="N83" s="28"/>
      <c r="O83" s="28"/>
      <c r="P83" s="28"/>
      <c r="Q83" s="28"/>
      <c r="R83" s="28"/>
      <c r="S83" s="28"/>
      <c r="T83" s="28"/>
    </row>
    <row r="84" customFormat="false" ht="11.25" hidden="false" customHeight="false" outlineLevel="0" collapsed="false">
      <c r="A84" s="6" t="n">
        <v>84</v>
      </c>
      <c r="B84" s="6" t="n">
        <f aca="false">Codestufen!C85</f>
        <v>0</v>
      </c>
      <c r="C84" s="6" t="n">
        <f aca="false">COUNTIF(V_W_Q7_Zuord,A84)</f>
        <v>0</v>
      </c>
      <c r="D84" s="28" t="s">
        <v>63</v>
      </c>
      <c r="E84" s="28" t="n">
        <v>96</v>
      </c>
      <c r="F84" s="29" t="s">
        <v>69</v>
      </c>
      <c r="G84" s="30" t="n">
        <v>2</v>
      </c>
      <c r="H84" s="28" t="n">
        <f aca="false">IF(TRIM(F84)="",0,1)</f>
        <v>1</v>
      </c>
      <c r="I84" s="28" t="n">
        <f aca="false">COUNT(G84:G84)</f>
        <v>1</v>
      </c>
      <c r="J84" s="28" t="n">
        <f aca="false">IF(I84 &gt;= H84,0,1)</f>
        <v>0</v>
      </c>
      <c r="K84" s="28" t="n">
        <f aca="false">IF(AND(I84 &gt; 0,H84=0),1,0)</f>
        <v>0</v>
      </c>
      <c r="L84" s="28"/>
      <c r="M84" s="28"/>
      <c r="N84" s="28"/>
      <c r="O84" s="28"/>
      <c r="P84" s="28"/>
      <c r="Q84" s="28"/>
      <c r="R84" s="28"/>
      <c r="S84" s="28"/>
      <c r="T84" s="28"/>
    </row>
    <row r="85" customFormat="false" ht="11.25" hidden="false" customHeight="false" outlineLevel="0" collapsed="false">
      <c r="A85" s="6" t="n">
        <v>85</v>
      </c>
      <c r="B85" s="6" t="n">
        <f aca="false">Codestufen!C86</f>
        <v>0</v>
      </c>
      <c r="C85" s="6" t="n">
        <f aca="false">COUNTIF(V_W_Q7_Zuord,A85)</f>
        <v>0</v>
      </c>
      <c r="D85" s="28" t="s">
        <v>63</v>
      </c>
      <c r="E85" s="28" t="n">
        <v>2</v>
      </c>
      <c r="F85" s="29" t="s">
        <v>70</v>
      </c>
      <c r="G85" s="30" t="n">
        <v>1</v>
      </c>
      <c r="H85" s="28" t="n">
        <f aca="false">IF(TRIM(F85)="",0,1)</f>
        <v>1</v>
      </c>
      <c r="I85" s="28" t="n">
        <f aca="false">COUNT(G85:G85)</f>
        <v>1</v>
      </c>
      <c r="J85" s="28" t="n">
        <f aca="false">IF(I85 &gt;= H85,0,1)</f>
        <v>0</v>
      </c>
      <c r="K85" s="28" t="n">
        <f aca="false">IF(AND(I85 &gt; 0,H85=0),1,0)</f>
        <v>0</v>
      </c>
      <c r="L85" s="28"/>
      <c r="M85" s="28"/>
      <c r="N85" s="28"/>
      <c r="O85" s="28"/>
      <c r="P85" s="28"/>
      <c r="Q85" s="28"/>
      <c r="R85" s="28"/>
      <c r="S85" s="28"/>
      <c r="T85" s="28"/>
    </row>
    <row r="86" customFormat="false" ht="11.25" hidden="false" customHeight="false" outlineLevel="0" collapsed="false">
      <c r="A86" s="6" t="n">
        <v>86</v>
      </c>
      <c r="B86" s="6" t="n">
        <f aca="false">Codestufen!C87</f>
        <v>0</v>
      </c>
      <c r="C86" s="6" t="n">
        <f aca="false">COUNTIF(V_W_Q7_Zuord,A86)</f>
        <v>0</v>
      </c>
      <c r="D86" s="28" t="s">
        <v>63</v>
      </c>
      <c r="E86" s="28" t="n">
        <v>3</v>
      </c>
      <c r="F86" s="29" t="s">
        <v>70</v>
      </c>
      <c r="G86" s="30" t="n">
        <v>1</v>
      </c>
      <c r="H86" s="28" t="n">
        <f aca="false">IF(TRIM(F86)="",0,1)</f>
        <v>1</v>
      </c>
      <c r="I86" s="28" t="n">
        <f aca="false">COUNT(G86:G86)</f>
        <v>1</v>
      </c>
      <c r="J86" s="28" t="n">
        <f aca="false">IF(I86 &gt;= H86,0,1)</f>
        <v>0</v>
      </c>
      <c r="K86" s="28" t="n">
        <f aca="false">IF(AND(I86 &gt; 0,H86=0),1,0)</f>
        <v>0</v>
      </c>
      <c r="L86" s="28"/>
      <c r="M86" s="28"/>
      <c r="N86" s="28"/>
      <c r="O86" s="28"/>
      <c r="P86" s="28"/>
      <c r="Q86" s="28"/>
      <c r="R86" s="28"/>
      <c r="S86" s="28"/>
      <c r="T86" s="28"/>
    </row>
    <row r="87" customFormat="false" ht="11.25" hidden="false" customHeight="false" outlineLevel="0" collapsed="false">
      <c r="A87" s="6" t="n">
        <v>87</v>
      </c>
      <c r="B87" s="6" t="n">
        <f aca="false">Codestufen!C88</f>
        <v>0</v>
      </c>
      <c r="C87" s="6" t="n">
        <f aca="false">COUNTIF(V_W_Q7_Zuord,A87)</f>
        <v>0</v>
      </c>
      <c r="D87" s="28" t="s">
        <v>63</v>
      </c>
      <c r="E87" s="28" t="n">
        <v>34</v>
      </c>
      <c r="F87" s="29" t="s">
        <v>70</v>
      </c>
      <c r="G87" s="30" t="n">
        <v>1</v>
      </c>
      <c r="H87" s="28" t="n">
        <f aca="false">IF(TRIM(F87)="",0,1)</f>
        <v>1</v>
      </c>
      <c r="I87" s="28" t="n">
        <f aca="false">COUNT(G87:G87)</f>
        <v>1</v>
      </c>
      <c r="J87" s="28" t="n">
        <f aca="false">IF(I87 &gt;= H87,0,1)</f>
        <v>0</v>
      </c>
      <c r="K87" s="28" t="n">
        <f aca="false">IF(AND(I87 &gt; 0,H87=0),1,0)</f>
        <v>0</v>
      </c>
      <c r="L87" s="28"/>
      <c r="M87" s="28"/>
      <c r="N87" s="28"/>
      <c r="O87" s="28"/>
      <c r="P87" s="28"/>
      <c r="Q87" s="28"/>
      <c r="R87" s="28"/>
      <c r="S87" s="28"/>
      <c r="T87" s="28"/>
    </row>
    <row r="88" customFormat="false" ht="11.25" hidden="false" customHeight="false" outlineLevel="0" collapsed="false">
      <c r="A88" s="6" t="n">
        <v>88</v>
      </c>
      <c r="B88" s="6" t="n">
        <f aca="false">Codestufen!C89</f>
        <v>0</v>
      </c>
      <c r="C88" s="6" t="n">
        <f aca="false">COUNTIF(V_W_Q7_Zuord,A88)</f>
        <v>0</v>
      </c>
      <c r="D88" s="28" t="s">
        <v>63</v>
      </c>
      <c r="E88" s="28" t="n">
        <v>42</v>
      </c>
      <c r="F88" s="29" t="s">
        <v>70</v>
      </c>
      <c r="G88" s="30" t="n">
        <v>1</v>
      </c>
      <c r="H88" s="28" t="n">
        <f aca="false">IF(TRIM(F88)="",0,1)</f>
        <v>1</v>
      </c>
      <c r="I88" s="28" t="n">
        <f aca="false">COUNT(G88:G88)</f>
        <v>1</v>
      </c>
      <c r="J88" s="28" t="n">
        <f aca="false">IF(I88 &gt;= H88,0,1)</f>
        <v>0</v>
      </c>
      <c r="K88" s="28" t="n">
        <f aca="false">IF(AND(I88 &gt; 0,H88=0),1,0)</f>
        <v>0</v>
      </c>
      <c r="L88" s="28"/>
      <c r="M88" s="28"/>
      <c r="N88" s="28"/>
      <c r="O88" s="28"/>
      <c r="P88" s="28"/>
      <c r="Q88" s="28"/>
      <c r="R88" s="28"/>
      <c r="S88" s="28"/>
      <c r="T88" s="28"/>
    </row>
    <row r="89" customFormat="false" ht="11.25" hidden="false" customHeight="false" outlineLevel="0" collapsed="false">
      <c r="A89" s="6" t="n">
        <v>89</v>
      </c>
      <c r="B89" s="6" t="n">
        <f aca="false">Codestufen!C90</f>
        <v>0</v>
      </c>
      <c r="C89" s="6" t="n">
        <f aca="false">COUNTIF(V_W_Q7_Zuord,A89)</f>
        <v>0</v>
      </c>
      <c r="D89" s="28" t="s">
        <v>63</v>
      </c>
      <c r="E89" s="28" t="n">
        <v>47</v>
      </c>
      <c r="F89" s="29" t="s">
        <v>70</v>
      </c>
      <c r="G89" s="30" t="n">
        <v>1</v>
      </c>
      <c r="H89" s="28" t="n">
        <f aca="false">IF(TRIM(F89)="",0,1)</f>
        <v>1</v>
      </c>
      <c r="I89" s="28" t="n">
        <f aca="false">COUNT(G89:G89)</f>
        <v>1</v>
      </c>
      <c r="J89" s="28" t="n">
        <f aca="false">IF(I89 &gt;= H89,0,1)</f>
        <v>0</v>
      </c>
      <c r="K89" s="28" t="n">
        <f aca="false">IF(AND(I89 &gt; 0,H89=0),1,0)</f>
        <v>0</v>
      </c>
      <c r="L89" s="28"/>
      <c r="M89" s="28"/>
      <c r="N89" s="28"/>
      <c r="O89" s="28"/>
      <c r="P89" s="28"/>
      <c r="Q89" s="28"/>
      <c r="R89" s="28"/>
      <c r="S89" s="28"/>
      <c r="T89" s="28"/>
    </row>
    <row r="90" customFormat="false" ht="11.25" hidden="false" customHeight="false" outlineLevel="0" collapsed="false">
      <c r="A90" s="6" t="n">
        <v>90</v>
      </c>
      <c r="B90" s="6" t="n">
        <f aca="false">Codestufen!C91</f>
        <v>0</v>
      </c>
      <c r="C90" s="6" t="n">
        <f aca="false">COUNTIF(V_W_Q7_Zuord,A90)</f>
        <v>0</v>
      </c>
      <c r="D90" s="28" t="s">
        <v>63</v>
      </c>
      <c r="E90" s="28" t="n">
        <v>62</v>
      </c>
      <c r="F90" s="29" t="s">
        <v>70</v>
      </c>
      <c r="G90" s="30" t="n">
        <v>1</v>
      </c>
      <c r="H90" s="28" t="n">
        <f aca="false">IF(TRIM(F90)="",0,1)</f>
        <v>1</v>
      </c>
      <c r="I90" s="28" t="n">
        <f aca="false">COUNT(G90:G90)</f>
        <v>1</v>
      </c>
      <c r="J90" s="28" t="n">
        <f aca="false">IF(I90 &gt;= H90,0,1)</f>
        <v>0</v>
      </c>
      <c r="K90" s="28" t="n">
        <f aca="false">IF(AND(I90 &gt; 0,H90=0),1,0)</f>
        <v>0</v>
      </c>
      <c r="L90" s="28"/>
      <c r="M90" s="28"/>
      <c r="N90" s="28"/>
      <c r="O90" s="28"/>
      <c r="P90" s="28"/>
      <c r="Q90" s="28"/>
      <c r="R90" s="28"/>
      <c r="S90" s="28"/>
      <c r="T90" s="28"/>
    </row>
    <row r="91" customFormat="false" ht="11.25" hidden="false" customHeight="false" outlineLevel="0" collapsed="false">
      <c r="A91" s="6" t="n">
        <v>91</v>
      </c>
      <c r="B91" s="6" t="n">
        <f aca="false">Codestufen!C92</f>
        <v>0</v>
      </c>
      <c r="C91" s="6" t="n">
        <f aca="false">COUNTIF(V_W_Q7_Zuord,A91)</f>
        <v>0</v>
      </c>
      <c r="D91" s="28" t="s">
        <v>63</v>
      </c>
      <c r="E91" s="28" t="n">
        <v>24</v>
      </c>
      <c r="F91" s="29" t="s">
        <v>71</v>
      </c>
      <c r="G91" s="30" t="n">
        <v>4</v>
      </c>
      <c r="H91" s="28" t="n">
        <f aca="false">IF(TRIM(F91)="",0,1)</f>
        <v>1</v>
      </c>
      <c r="I91" s="28" t="n">
        <f aca="false">COUNT(G91:G91)</f>
        <v>1</v>
      </c>
      <c r="J91" s="28" t="n">
        <f aca="false">IF(I91 &gt;= H91,0,1)</f>
        <v>0</v>
      </c>
      <c r="K91" s="28" t="n">
        <f aca="false">IF(AND(I91 &gt; 0,H91=0),1,0)</f>
        <v>0</v>
      </c>
      <c r="L91" s="28"/>
      <c r="M91" s="28"/>
      <c r="N91" s="28"/>
      <c r="O91" s="28"/>
      <c r="P91" s="28"/>
      <c r="Q91" s="28"/>
      <c r="R91" s="28"/>
      <c r="S91" s="28"/>
      <c r="T91" s="28"/>
    </row>
    <row r="92" customFormat="false" ht="11.25" hidden="false" customHeight="false" outlineLevel="0" collapsed="false">
      <c r="A92" s="6" t="n">
        <v>92</v>
      </c>
      <c r="B92" s="6" t="n">
        <f aca="false">Codestufen!C93</f>
        <v>0</v>
      </c>
      <c r="C92" s="6" t="n">
        <f aca="false">COUNTIF(V_W_Q7_Zuord,A92)</f>
        <v>0</v>
      </c>
      <c r="D92" s="28" t="s">
        <v>63</v>
      </c>
      <c r="E92" s="28" t="n">
        <v>35</v>
      </c>
      <c r="F92" s="29" t="s">
        <v>71</v>
      </c>
      <c r="G92" s="30" t="n">
        <v>4</v>
      </c>
      <c r="H92" s="28" t="n">
        <f aca="false">IF(TRIM(F92)="",0,1)</f>
        <v>1</v>
      </c>
      <c r="I92" s="28" t="n">
        <f aca="false">COUNT(G92:G92)</f>
        <v>1</v>
      </c>
      <c r="J92" s="28" t="n">
        <f aca="false">IF(I92 &gt;= H92,0,1)</f>
        <v>0</v>
      </c>
      <c r="K92" s="28" t="n">
        <f aca="false">IF(AND(I92 &gt; 0,H92=0),1,0)</f>
        <v>0</v>
      </c>
      <c r="L92" s="28"/>
      <c r="M92" s="28"/>
      <c r="N92" s="28"/>
      <c r="O92" s="28"/>
      <c r="P92" s="28"/>
      <c r="Q92" s="28"/>
      <c r="R92" s="28"/>
      <c r="S92" s="28"/>
      <c r="T92" s="28"/>
    </row>
    <row r="93" customFormat="false" ht="11.25" hidden="false" customHeight="false" outlineLevel="0" collapsed="false">
      <c r="A93" s="6" t="n">
        <v>93</v>
      </c>
      <c r="B93" s="6" t="n">
        <f aca="false">Codestufen!C94</f>
        <v>0</v>
      </c>
      <c r="C93" s="6" t="n">
        <f aca="false">COUNTIF(V_W_Q7_Zuord,A93)</f>
        <v>0</v>
      </c>
      <c r="D93" s="28" t="s">
        <v>63</v>
      </c>
      <c r="E93" s="28" t="n">
        <v>52</v>
      </c>
      <c r="F93" s="29" t="s">
        <v>71</v>
      </c>
      <c r="G93" s="30" t="n">
        <v>4</v>
      </c>
      <c r="H93" s="28" t="n">
        <f aca="false">IF(TRIM(F93)="",0,1)</f>
        <v>1</v>
      </c>
      <c r="I93" s="28" t="n">
        <f aca="false">COUNT(G93:G93)</f>
        <v>1</v>
      </c>
      <c r="J93" s="28" t="n">
        <f aca="false">IF(I93 &gt;= H93,0,1)</f>
        <v>0</v>
      </c>
      <c r="K93" s="28" t="n">
        <f aca="false">IF(AND(I93 &gt; 0,H93=0),1,0)</f>
        <v>0</v>
      </c>
      <c r="L93" s="28"/>
      <c r="M93" s="28"/>
      <c r="N93" s="28"/>
      <c r="O93" s="28"/>
      <c r="P93" s="28"/>
      <c r="Q93" s="28"/>
      <c r="R93" s="28"/>
      <c r="S93" s="28"/>
      <c r="T93" s="28"/>
    </row>
    <row r="94" customFormat="false" ht="11.25" hidden="false" customHeight="false" outlineLevel="0" collapsed="false">
      <c r="A94" s="6" t="n">
        <v>94</v>
      </c>
      <c r="B94" s="6" t="n">
        <f aca="false">Codestufen!C95</f>
        <v>0</v>
      </c>
      <c r="C94" s="6" t="n">
        <f aca="false">COUNTIF(V_W_Q7_Zuord,A94)</f>
        <v>0</v>
      </c>
      <c r="D94" s="28" t="s">
        <v>63</v>
      </c>
      <c r="E94" s="28" t="n">
        <v>58</v>
      </c>
      <c r="F94" s="29" t="s">
        <v>71</v>
      </c>
      <c r="G94" s="30" t="n">
        <v>4</v>
      </c>
      <c r="H94" s="28" t="n">
        <f aca="false">IF(TRIM(F94)="",0,1)</f>
        <v>1</v>
      </c>
      <c r="I94" s="28" t="n">
        <f aca="false">COUNT(G94:G94)</f>
        <v>1</v>
      </c>
      <c r="J94" s="28" t="n">
        <f aca="false">IF(I94 &gt;= H94,0,1)</f>
        <v>0</v>
      </c>
      <c r="K94" s="28" t="n">
        <f aca="false">IF(AND(I94 &gt; 0,H94=0),1,0)</f>
        <v>0</v>
      </c>
      <c r="L94" s="28"/>
      <c r="M94" s="28"/>
      <c r="N94" s="28"/>
      <c r="O94" s="28"/>
      <c r="P94" s="28"/>
      <c r="Q94" s="28"/>
      <c r="R94" s="28"/>
      <c r="S94" s="28"/>
      <c r="T94" s="28"/>
    </row>
    <row r="95" customFormat="false" ht="11.25" hidden="false" customHeight="false" outlineLevel="0" collapsed="false">
      <c r="A95" s="6" t="n">
        <v>95</v>
      </c>
      <c r="B95" s="6" t="n">
        <f aca="false">Codestufen!C96</f>
        <v>0</v>
      </c>
      <c r="C95" s="6" t="n">
        <f aca="false">COUNTIF(V_W_Q7_Zuord,A95)</f>
        <v>0</v>
      </c>
      <c r="D95" s="28" t="s">
        <v>63</v>
      </c>
      <c r="E95" s="28" t="n">
        <v>70</v>
      </c>
      <c r="F95" s="29" t="s">
        <v>71</v>
      </c>
      <c r="G95" s="30" t="n">
        <v>4</v>
      </c>
      <c r="H95" s="28" t="n">
        <f aca="false">IF(TRIM(F95)="",0,1)</f>
        <v>1</v>
      </c>
      <c r="I95" s="28" t="n">
        <f aca="false">COUNT(G95:G95)</f>
        <v>1</v>
      </c>
      <c r="J95" s="28" t="n">
        <f aca="false">IF(I95 &gt;= H95,0,1)</f>
        <v>0</v>
      </c>
      <c r="K95" s="28" t="n">
        <f aca="false">IF(AND(I95 &gt; 0,H95=0),1,0)</f>
        <v>0</v>
      </c>
      <c r="L95" s="28"/>
      <c r="M95" s="28"/>
      <c r="N95" s="28"/>
      <c r="O95" s="28"/>
      <c r="P95" s="28"/>
      <c r="Q95" s="28"/>
      <c r="R95" s="28"/>
      <c r="S95" s="28"/>
      <c r="T95" s="28"/>
    </row>
    <row r="96" customFormat="false" ht="11.25" hidden="false" customHeight="false" outlineLevel="0" collapsed="false">
      <c r="A96" s="6" t="n">
        <v>96</v>
      </c>
      <c r="B96" s="6" t="n">
        <f aca="false">Codestufen!C97</f>
        <v>0</v>
      </c>
      <c r="C96" s="6" t="n">
        <f aca="false">COUNTIF(V_W_Q7_Zuord,A96)</f>
        <v>0</v>
      </c>
      <c r="D96" s="28" t="s">
        <v>63</v>
      </c>
      <c r="E96" s="28" t="n">
        <v>76</v>
      </c>
      <c r="F96" s="29" t="s">
        <v>71</v>
      </c>
      <c r="G96" s="30" t="n">
        <v>4</v>
      </c>
      <c r="H96" s="28" t="n">
        <f aca="false">IF(TRIM(F96)="",0,1)</f>
        <v>1</v>
      </c>
      <c r="I96" s="28" t="n">
        <f aca="false">COUNT(G96:G96)</f>
        <v>1</v>
      </c>
      <c r="J96" s="28" t="n">
        <f aca="false">IF(I96 &gt;= H96,0,1)</f>
        <v>0</v>
      </c>
      <c r="K96" s="28" t="n">
        <f aca="false">IF(AND(I96 &gt; 0,H96=0),1,0)</f>
        <v>0</v>
      </c>
      <c r="L96" s="28"/>
      <c r="M96" s="28"/>
      <c r="N96" s="28"/>
      <c r="O96" s="28"/>
      <c r="P96" s="28"/>
      <c r="Q96" s="28"/>
      <c r="R96" s="28"/>
      <c r="S96" s="28"/>
      <c r="T96" s="28"/>
    </row>
    <row r="97" customFormat="false" ht="11.25" hidden="false" customHeight="false" outlineLevel="0" collapsed="false">
      <c r="A97" s="6" t="n">
        <v>97</v>
      </c>
      <c r="B97" s="6" t="str">
        <f aca="false">Codestufen!C98</f>
        <v>Others</v>
      </c>
      <c r="C97" s="6" t="n">
        <f aca="false">COUNTIF(V_W_Q7_Zuord,A97)</f>
        <v>0</v>
      </c>
      <c r="D97" s="28" t="s">
        <v>63</v>
      </c>
      <c r="E97" s="28" t="n">
        <v>80</v>
      </c>
      <c r="F97" s="29" t="s">
        <v>71</v>
      </c>
      <c r="G97" s="30" t="n">
        <v>4</v>
      </c>
      <c r="H97" s="28" t="n">
        <f aca="false">IF(TRIM(F97)="",0,1)</f>
        <v>1</v>
      </c>
      <c r="I97" s="28" t="n">
        <f aca="false">COUNT(G97:G97)</f>
        <v>1</v>
      </c>
      <c r="J97" s="28" t="n">
        <f aca="false">IF(I97 &gt;= H97,0,1)</f>
        <v>0</v>
      </c>
      <c r="K97" s="28" t="n">
        <f aca="false">IF(AND(I97 &gt; 0,H97=0),1,0)</f>
        <v>0</v>
      </c>
      <c r="L97" s="28"/>
      <c r="M97" s="28"/>
      <c r="N97" s="28"/>
      <c r="O97" s="28"/>
      <c r="P97" s="28"/>
      <c r="Q97" s="28"/>
      <c r="R97" s="28"/>
      <c r="S97" s="28"/>
      <c r="T97" s="28"/>
    </row>
    <row r="98" customFormat="false" ht="11.25" hidden="false" customHeight="false" outlineLevel="0" collapsed="false">
      <c r="A98" s="6" t="n">
        <v>98</v>
      </c>
      <c r="B98" s="6" t="n">
        <f aca="false">Codestufen!C99</f>
        <v>0</v>
      </c>
      <c r="C98" s="6" t="n">
        <f aca="false">COUNTIF(V_W_Q7_Zuord,A98)</f>
        <v>0</v>
      </c>
      <c r="D98" s="28" t="s">
        <v>63</v>
      </c>
      <c r="E98" s="28" t="n">
        <v>14</v>
      </c>
      <c r="F98" s="29" t="s">
        <v>72</v>
      </c>
      <c r="G98" s="30" t="n">
        <v>2</v>
      </c>
      <c r="H98" s="28" t="n">
        <f aca="false">IF(TRIM(F98)="",0,1)</f>
        <v>1</v>
      </c>
      <c r="I98" s="28" t="n">
        <f aca="false">COUNT(G98:G98)</f>
        <v>1</v>
      </c>
      <c r="J98" s="28" t="n">
        <f aca="false">IF(I98 &gt;= H98,0,1)</f>
        <v>0</v>
      </c>
      <c r="K98" s="28" t="n">
        <f aca="false">IF(AND(I98 &gt; 0,H98=0),1,0)</f>
        <v>0</v>
      </c>
      <c r="L98" s="28"/>
      <c r="M98" s="28"/>
      <c r="N98" s="28"/>
      <c r="O98" s="28"/>
      <c r="P98" s="28"/>
      <c r="Q98" s="28"/>
      <c r="R98" s="28"/>
      <c r="S98" s="28"/>
      <c r="T98" s="28"/>
    </row>
    <row r="99" customFormat="false" ht="11.25" hidden="false" customHeight="false" outlineLevel="0" collapsed="false">
      <c r="A99" s="6" t="n">
        <v>99</v>
      </c>
      <c r="B99" s="6" t="str">
        <f aca="false">Codestufen!C100</f>
        <v>No answer</v>
      </c>
      <c r="C99" s="6" t="n">
        <f aca="false">COUNTIF(V_W_Q7_Zuord,A99)</f>
        <v>0</v>
      </c>
      <c r="D99" s="28" t="s">
        <v>63</v>
      </c>
      <c r="E99" s="28" t="n">
        <v>20</v>
      </c>
      <c r="F99" s="29" t="s">
        <v>72</v>
      </c>
      <c r="G99" s="30" t="n">
        <v>2</v>
      </c>
      <c r="H99" s="28" t="n">
        <f aca="false">IF(TRIM(F99)="",0,1)</f>
        <v>1</v>
      </c>
      <c r="I99" s="28" t="n">
        <f aca="false">COUNT(G99:G99)</f>
        <v>1</v>
      </c>
      <c r="J99" s="28" t="n">
        <f aca="false">IF(I99 &gt;= H99,0,1)</f>
        <v>0</v>
      </c>
      <c r="K99" s="28" t="n">
        <f aca="false">IF(AND(I99 &gt; 0,H99=0),1,0)</f>
        <v>0</v>
      </c>
      <c r="L99" s="28"/>
      <c r="M99" s="28"/>
      <c r="N99" s="28"/>
      <c r="O99" s="28"/>
      <c r="P99" s="28"/>
      <c r="Q99" s="28"/>
      <c r="R99" s="28"/>
      <c r="S99" s="28"/>
      <c r="T99" s="28"/>
    </row>
    <row r="100" customFormat="false" ht="11.25" hidden="false" customHeight="false" outlineLevel="0" collapsed="false">
      <c r="A100" s="6" t="n">
        <v>100</v>
      </c>
      <c r="B100" s="6" t="n">
        <f aca="false">Codestufen!C101</f>
        <v>0</v>
      </c>
      <c r="C100" s="6" t="n">
        <f aca="false">COUNTIF(V_W_Q7_Zuord,A100)</f>
        <v>0</v>
      </c>
      <c r="D100" s="28" t="s">
        <v>63</v>
      </c>
      <c r="E100" s="28" t="n">
        <v>26</v>
      </c>
      <c r="F100" s="29" t="s">
        <v>72</v>
      </c>
      <c r="G100" s="30" t="n">
        <v>2</v>
      </c>
      <c r="H100" s="28" t="n">
        <f aca="false">IF(TRIM(F100)="",0,1)</f>
        <v>1</v>
      </c>
      <c r="I100" s="28" t="n">
        <f aca="false">COUNT(G100:G100)</f>
        <v>1</v>
      </c>
      <c r="J100" s="28" t="n">
        <f aca="false">IF(I100 &gt;= H100,0,1)</f>
        <v>0</v>
      </c>
      <c r="K100" s="28" t="n">
        <f aca="false">IF(AND(I100 &gt; 0,H100=0),1,0)</f>
        <v>0</v>
      </c>
      <c r="L100" s="28"/>
      <c r="M100" s="28"/>
      <c r="N100" s="28"/>
      <c r="O100" s="28"/>
      <c r="P100" s="28"/>
      <c r="Q100" s="28"/>
      <c r="R100" s="28"/>
      <c r="S100" s="28"/>
      <c r="T100" s="28"/>
    </row>
    <row r="101" customFormat="false" ht="11.25" hidden="false" customHeight="false" outlineLevel="0" collapsed="false">
      <c r="D101" s="28" t="s">
        <v>63</v>
      </c>
      <c r="E101" s="28" t="n">
        <v>50</v>
      </c>
      <c r="F101" s="29" t="s">
        <v>72</v>
      </c>
      <c r="G101" s="30" t="n">
        <v>2</v>
      </c>
      <c r="H101" s="28" t="n">
        <f aca="false">IF(TRIM(F101)="",0,1)</f>
        <v>1</v>
      </c>
      <c r="I101" s="28" t="n">
        <f aca="false">COUNT(G101:G101)</f>
        <v>1</v>
      </c>
      <c r="J101" s="28" t="n">
        <f aca="false">IF(I101 &gt;= H101,0,1)</f>
        <v>0</v>
      </c>
      <c r="K101" s="28" t="n">
        <f aca="false">IF(AND(I101 &gt; 0,H101=0),1,0)</f>
        <v>0</v>
      </c>
      <c r="L101" s="28"/>
      <c r="M101" s="28"/>
      <c r="N101" s="28"/>
      <c r="O101" s="28"/>
      <c r="P101" s="28"/>
      <c r="Q101" s="28"/>
      <c r="R101" s="28"/>
      <c r="S101" s="28"/>
      <c r="T101" s="28"/>
    </row>
    <row r="102" customFormat="false" ht="11.25" hidden="false" customHeight="false" outlineLevel="0" collapsed="false">
      <c r="D102" s="28" t="s">
        <v>63</v>
      </c>
      <c r="E102" s="28" t="n">
        <v>78</v>
      </c>
      <c r="F102" s="29" t="s">
        <v>72</v>
      </c>
      <c r="G102" s="30" t="n">
        <v>2</v>
      </c>
      <c r="H102" s="28" t="n">
        <f aca="false">IF(TRIM(F102)="",0,1)</f>
        <v>1</v>
      </c>
      <c r="I102" s="28" t="n">
        <f aca="false">COUNT(G102:G102)</f>
        <v>1</v>
      </c>
      <c r="J102" s="28" t="n">
        <f aca="false">IF(I102 &gt;= H102,0,1)</f>
        <v>0</v>
      </c>
      <c r="K102" s="28" t="n">
        <f aca="false">IF(AND(I102 &gt; 0,H102=0),1,0)</f>
        <v>0</v>
      </c>
      <c r="L102" s="28"/>
      <c r="M102" s="28"/>
      <c r="N102" s="28"/>
      <c r="O102" s="28"/>
      <c r="P102" s="28"/>
      <c r="Q102" s="28"/>
      <c r="R102" s="28"/>
      <c r="S102" s="28"/>
      <c r="T102" s="28"/>
    </row>
    <row r="103" customFormat="false" ht="11.25" hidden="false" customHeight="false" outlineLevel="0" collapsed="false">
      <c r="D103" s="28" t="s">
        <v>63</v>
      </c>
      <c r="E103" s="28" t="n">
        <v>88</v>
      </c>
      <c r="F103" s="29" t="s">
        <v>72</v>
      </c>
      <c r="G103" s="30" t="n">
        <v>2</v>
      </c>
      <c r="H103" s="28" t="n">
        <f aca="false">IF(TRIM(F103)="",0,1)</f>
        <v>1</v>
      </c>
      <c r="I103" s="28" t="n">
        <f aca="false">COUNT(G103:G103)</f>
        <v>1</v>
      </c>
      <c r="J103" s="28" t="n">
        <f aca="false">IF(I103 &gt;= H103,0,1)</f>
        <v>0</v>
      </c>
      <c r="K103" s="28" t="n">
        <f aca="false">IF(AND(I103 &gt; 0,H103=0),1,0)</f>
        <v>0</v>
      </c>
      <c r="L103" s="28"/>
      <c r="M103" s="28"/>
      <c r="N103" s="28"/>
      <c r="O103" s="28"/>
      <c r="P103" s="28"/>
      <c r="Q103" s="28"/>
      <c r="R103" s="28"/>
      <c r="S103" s="28"/>
      <c r="T103" s="28"/>
    </row>
    <row r="104" customFormat="false" ht="11.25" hidden="false" customHeight="false" outlineLevel="0" collapsed="false">
      <c r="D104" s="28" t="s">
        <v>63</v>
      </c>
      <c r="E104" s="28" t="n">
        <v>1</v>
      </c>
      <c r="F104" s="29" t="s">
        <v>73</v>
      </c>
      <c r="G104" s="30" t="n">
        <v>3</v>
      </c>
      <c r="H104" s="28" t="n">
        <f aca="false">IF(TRIM(F104)="",0,1)</f>
        <v>1</v>
      </c>
      <c r="I104" s="28" t="n">
        <f aca="false">COUNT(G104:G104)</f>
        <v>1</v>
      </c>
      <c r="J104" s="28" t="n">
        <f aca="false">IF(I104 &gt;= H104,0,1)</f>
        <v>0</v>
      </c>
      <c r="K104" s="28" t="n">
        <f aca="false">IF(AND(I104 &gt; 0,H104=0),1,0)</f>
        <v>0</v>
      </c>
      <c r="L104" s="28"/>
      <c r="M104" s="28"/>
      <c r="N104" s="28"/>
      <c r="O104" s="28"/>
      <c r="P104" s="28"/>
      <c r="Q104" s="28"/>
      <c r="R104" s="28"/>
      <c r="S104" s="28"/>
      <c r="T104" s="28"/>
    </row>
    <row r="105" customFormat="false" ht="11.25" hidden="false" customHeight="false" outlineLevel="0" collapsed="false">
      <c r="D105" s="28" t="s">
        <v>63</v>
      </c>
      <c r="E105" s="28" t="n">
        <v>28</v>
      </c>
      <c r="F105" s="29" t="s">
        <v>73</v>
      </c>
      <c r="G105" s="30" t="n">
        <v>3</v>
      </c>
      <c r="H105" s="28" t="n">
        <f aca="false">IF(TRIM(F105)="",0,1)</f>
        <v>1</v>
      </c>
      <c r="I105" s="28" t="n">
        <f aca="false">COUNT(G105:G105)</f>
        <v>1</v>
      </c>
      <c r="J105" s="28" t="n">
        <f aca="false">IF(I105 &gt;= H105,0,1)</f>
        <v>0</v>
      </c>
      <c r="K105" s="28" t="n">
        <f aca="false">IF(AND(I105 &gt; 0,H105=0),1,0)</f>
        <v>0</v>
      </c>
      <c r="L105" s="28"/>
      <c r="M105" s="28"/>
      <c r="N105" s="28"/>
      <c r="O105" s="28"/>
      <c r="P105" s="28"/>
      <c r="Q105" s="28"/>
      <c r="R105" s="28"/>
      <c r="S105" s="28"/>
      <c r="T105" s="28"/>
    </row>
    <row r="106" customFormat="false" ht="11.25" hidden="false" customHeight="false" outlineLevel="0" collapsed="false">
      <c r="D106" s="28" t="s">
        <v>63</v>
      </c>
      <c r="E106" s="28" t="n">
        <v>30</v>
      </c>
      <c r="F106" s="29" t="s">
        <v>73</v>
      </c>
      <c r="G106" s="30" t="n">
        <v>3</v>
      </c>
      <c r="H106" s="28" t="n">
        <f aca="false">IF(TRIM(F106)="",0,1)</f>
        <v>1</v>
      </c>
      <c r="I106" s="28" t="n">
        <f aca="false">COUNT(G106:G106)</f>
        <v>1</v>
      </c>
      <c r="J106" s="28" t="n">
        <f aca="false">IF(I106 &gt;= H106,0,1)</f>
        <v>0</v>
      </c>
      <c r="K106" s="28" t="n">
        <f aca="false">IF(AND(I106 &gt; 0,H106=0),1,0)</f>
        <v>0</v>
      </c>
      <c r="L106" s="28"/>
      <c r="M106" s="28"/>
      <c r="N106" s="28"/>
      <c r="O106" s="28"/>
      <c r="P106" s="28"/>
      <c r="Q106" s="28"/>
      <c r="R106" s="28"/>
      <c r="S106" s="28"/>
      <c r="T106" s="28"/>
    </row>
    <row r="107" customFormat="false" ht="11.25" hidden="false" customHeight="false" outlineLevel="0" collapsed="false">
      <c r="D107" s="28" t="s">
        <v>63</v>
      </c>
      <c r="E107" s="28" t="n">
        <v>36</v>
      </c>
      <c r="F107" s="29" t="s">
        <v>73</v>
      </c>
      <c r="G107" s="30" t="n">
        <v>3</v>
      </c>
      <c r="H107" s="28" t="n">
        <f aca="false">IF(TRIM(F107)="",0,1)</f>
        <v>1</v>
      </c>
      <c r="I107" s="28" t="n">
        <f aca="false">COUNT(G107:G107)</f>
        <v>1</v>
      </c>
      <c r="J107" s="28" t="n">
        <f aca="false">IF(I107 &gt;= H107,0,1)</f>
        <v>0</v>
      </c>
      <c r="K107" s="28" t="n">
        <f aca="false">IF(AND(I107 &gt; 0,H107=0),1,0)</f>
        <v>0</v>
      </c>
      <c r="L107" s="28"/>
      <c r="M107" s="28"/>
      <c r="N107" s="28"/>
      <c r="O107" s="28"/>
      <c r="P107" s="28"/>
      <c r="Q107" s="28"/>
      <c r="R107" s="28"/>
      <c r="S107" s="28"/>
      <c r="T107" s="28"/>
    </row>
    <row r="108" customFormat="false" ht="11.25" hidden="false" customHeight="false" outlineLevel="0" collapsed="false">
      <c r="D108" s="28" t="s">
        <v>63</v>
      </c>
      <c r="E108" s="28" t="n">
        <v>40</v>
      </c>
      <c r="F108" s="29" t="s">
        <v>73</v>
      </c>
      <c r="G108" s="30" t="n">
        <v>3</v>
      </c>
      <c r="H108" s="28" t="n">
        <f aca="false">IF(TRIM(F108)="",0,1)</f>
        <v>1</v>
      </c>
      <c r="I108" s="28" t="n">
        <f aca="false">COUNT(G108:G108)</f>
        <v>1</v>
      </c>
      <c r="J108" s="28" t="n">
        <f aca="false">IF(I108 &gt;= H108,0,1)</f>
        <v>0</v>
      </c>
      <c r="K108" s="28" t="n">
        <f aca="false">IF(AND(I108 &gt; 0,H108=0),1,0)</f>
        <v>0</v>
      </c>
      <c r="L108" s="28"/>
      <c r="M108" s="28"/>
      <c r="N108" s="28"/>
      <c r="O108" s="28"/>
      <c r="P108" s="28"/>
      <c r="Q108" s="28"/>
      <c r="R108" s="28"/>
      <c r="S108" s="28"/>
      <c r="T108" s="28"/>
    </row>
    <row r="109" customFormat="false" ht="11.25" hidden="false" customHeight="false" outlineLevel="0" collapsed="false">
      <c r="D109" s="28" t="s">
        <v>63</v>
      </c>
      <c r="E109" s="28" t="n">
        <v>60</v>
      </c>
      <c r="F109" s="29" t="s">
        <v>73</v>
      </c>
      <c r="G109" s="30" t="n">
        <v>3</v>
      </c>
      <c r="H109" s="28" t="n">
        <f aca="false">IF(TRIM(F109)="",0,1)</f>
        <v>1</v>
      </c>
      <c r="I109" s="28" t="n">
        <f aca="false">COUNT(G109:G109)</f>
        <v>1</v>
      </c>
      <c r="J109" s="28" t="n">
        <f aca="false">IF(I109 &gt;= H109,0,1)</f>
        <v>0</v>
      </c>
      <c r="K109" s="28" t="n">
        <f aca="false">IF(AND(I109 &gt; 0,H109=0),1,0)</f>
        <v>0</v>
      </c>
      <c r="L109" s="28"/>
      <c r="M109" s="28"/>
      <c r="N109" s="28"/>
      <c r="O109" s="28"/>
      <c r="P109" s="28"/>
      <c r="Q109" s="28"/>
      <c r="R109" s="28"/>
      <c r="S109" s="28"/>
      <c r="T109" s="28"/>
    </row>
    <row r="110" customFormat="false" ht="11.25" hidden="false" customHeight="false" outlineLevel="0" collapsed="false">
      <c r="D110" s="28" t="s">
        <v>63</v>
      </c>
      <c r="E110" s="28" t="n">
        <v>72</v>
      </c>
      <c r="F110" s="29" t="s">
        <v>73</v>
      </c>
      <c r="G110" s="30" t="n">
        <v>3</v>
      </c>
      <c r="H110" s="28" t="n">
        <f aca="false">IF(TRIM(F110)="",0,1)</f>
        <v>1</v>
      </c>
      <c r="I110" s="28" t="n">
        <f aca="false">COUNT(G110:G110)</f>
        <v>1</v>
      </c>
      <c r="J110" s="28" t="n">
        <f aca="false">IF(I110 &gt;= H110,0,1)</f>
        <v>0</v>
      </c>
      <c r="K110" s="28" t="n">
        <f aca="false">IF(AND(I110 &gt; 0,H110=0),1,0)</f>
        <v>0</v>
      </c>
      <c r="L110" s="28"/>
      <c r="M110" s="28"/>
      <c r="N110" s="28"/>
      <c r="O110" s="28"/>
      <c r="P110" s="28"/>
      <c r="Q110" s="28"/>
      <c r="R110" s="28"/>
      <c r="S110" s="28"/>
      <c r="T110" s="28"/>
    </row>
    <row r="111" customFormat="false" ht="11.25" hidden="false" customHeight="false" outlineLevel="0" collapsed="false">
      <c r="D111" s="28" t="s">
        <v>63</v>
      </c>
      <c r="E111" s="28" t="n">
        <v>83</v>
      </c>
      <c r="F111" s="29" t="s">
        <v>73</v>
      </c>
      <c r="G111" s="30" t="n">
        <v>3</v>
      </c>
      <c r="H111" s="28" t="n">
        <f aca="false">IF(TRIM(F111)="",0,1)</f>
        <v>1</v>
      </c>
      <c r="I111" s="28" t="n">
        <f aca="false">COUNT(G111:G111)</f>
        <v>1</v>
      </c>
      <c r="J111" s="28" t="n">
        <f aca="false">IF(I111 &gt;= H111,0,1)</f>
        <v>0</v>
      </c>
      <c r="K111" s="28" t="n">
        <f aca="false">IF(AND(I111 &gt; 0,H111=0),1,0)</f>
        <v>0</v>
      </c>
      <c r="L111" s="28"/>
      <c r="M111" s="28"/>
      <c r="N111" s="28"/>
      <c r="O111" s="28"/>
      <c r="P111" s="28"/>
      <c r="Q111" s="28"/>
      <c r="R111" s="28"/>
      <c r="S111" s="28"/>
      <c r="T111" s="28"/>
    </row>
    <row r="112" customFormat="false" ht="11.25" hidden="false" customHeight="false" outlineLevel="0" collapsed="false">
      <c r="D112" s="28" t="s">
        <v>63</v>
      </c>
      <c r="E112" s="28" t="n">
        <v>85</v>
      </c>
      <c r="F112" s="29" t="s">
        <v>73</v>
      </c>
      <c r="G112" s="30" t="n">
        <v>3</v>
      </c>
      <c r="H112" s="28" t="n">
        <f aca="false">IF(TRIM(F112)="",0,1)</f>
        <v>1</v>
      </c>
      <c r="I112" s="28" t="n">
        <f aca="false">COUNT(G112:G112)</f>
        <v>1</v>
      </c>
      <c r="J112" s="28" t="n">
        <f aca="false">IF(I112 &gt;= H112,0,1)</f>
        <v>0</v>
      </c>
      <c r="K112" s="28" t="n">
        <f aca="false">IF(AND(I112 &gt; 0,H112=0),1,0)</f>
        <v>0</v>
      </c>
      <c r="L112" s="28"/>
      <c r="M112" s="28"/>
      <c r="N112" s="28"/>
      <c r="O112" s="28"/>
      <c r="P112" s="28"/>
      <c r="Q112" s="28"/>
      <c r="R112" s="28"/>
      <c r="S112" s="28"/>
      <c r="T112" s="28"/>
    </row>
    <row r="113" customFormat="false" ht="11.25" hidden="false" customHeight="false" outlineLevel="0" collapsed="false">
      <c r="D113" s="28" t="s">
        <v>63</v>
      </c>
      <c r="E113" s="28" t="n">
        <v>95</v>
      </c>
      <c r="F113" s="29" t="s">
        <v>73</v>
      </c>
      <c r="G113" s="30" t="n">
        <v>3</v>
      </c>
      <c r="H113" s="28" t="n">
        <f aca="false">IF(TRIM(F113)="",0,1)</f>
        <v>1</v>
      </c>
      <c r="I113" s="28" t="n">
        <f aca="false">COUNT(G113:G113)</f>
        <v>1</v>
      </c>
      <c r="J113" s="28" t="n">
        <f aca="false">IF(I113 &gt;= H113,0,1)</f>
        <v>0</v>
      </c>
      <c r="K113" s="28" t="n">
        <f aca="false">IF(AND(I113 &gt; 0,H113=0),1,0)</f>
        <v>0</v>
      </c>
      <c r="L113" s="28"/>
      <c r="M113" s="28"/>
      <c r="N113" s="28"/>
      <c r="O113" s="28"/>
      <c r="P113" s="28"/>
      <c r="Q113" s="28"/>
      <c r="R113" s="28"/>
      <c r="S113" s="28"/>
      <c r="T113" s="28"/>
    </row>
    <row r="114" customFormat="false" ht="11.25" hidden="false" customHeight="false" outlineLevel="0" collapsed="false">
      <c r="D114" s="28" t="s">
        <v>63</v>
      </c>
      <c r="E114" s="28" t="n">
        <v>97</v>
      </c>
      <c r="F114" s="29" t="s">
        <v>73</v>
      </c>
      <c r="G114" s="30" t="n">
        <v>3</v>
      </c>
      <c r="H114" s="28" t="n">
        <f aca="false">IF(TRIM(F114)="",0,1)</f>
        <v>1</v>
      </c>
      <c r="I114" s="28" t="n">
        <f aca="false">COUNT(G114:G114)</f>
        <v>1</v>
      </c>
      <c r="J114" s="28" t="n">
        <f aca="false">IF(I114 &gt;= H114,0,1)</f>
        <v>0</v>
      </c>
      <c r="K114" s="28" t="n">
        <f aca="false">IF(AND(I114 &gt; 0,H114=0),1,0)</f>
        <v>0</v>
      </c>
      <c r="L114" s="28"/>
      <c r="M114" s="28"/>
      <c r="N114" s="28"/>
      <c r="O114" s="28"/>
      <c r="P114" s="28"/>
      <c r="Q114" s="28"/>
      <c r="R114" s="28"/>
      <c r="S114" s="28"/>
      <c r="T114" s="28"/>
    </row>
    <row r="115" customFormat="false" ht="11.25" hidden="false" customHeight="false" outlineLevel="0" collapsed="false">
      <c r="D115" s="28" t="s">
        <v>63</v>
      </c>
      <c r="E115" s="28" t="n">
        <v>4</v>
      </c>
      <c r="F115" s="29" t="s">
        <v>74</v>
      </c>
      <c r="G115" s="30" t="n">
        <v>3</v>
      </c>
      <c r="H115" s="28" t="n">
        <f aca="false">IF(TRIM(F115)="",0,1)</f>
        <v>1</v>
      </c>
      <c r="I115" s="28" t="n">
        <f aca="false">COUNT(G115:G115)</f>
        <v>1</v>
      </c>
      <c r="J115" s="28" t="n">
        <f aca="false">IF(I115 &gt;= H115,0,1)</f>
        <v>0</v>
      </c>
      <c r="K115" s="28" t="n">
        <f aca="false">IF(AND(I115 &gt; 0,H115=0),1,0)</f>
        <v>0</v>
      </c>
      <c r="L115" s="28"/>
      <c r="M115" s="28"/>
      <c r="N115" s="28"/>
      <c r="O115" s="28"/>
      <c r="P115" s="28"/>
      <c r="Q115" s="28"/>
      <c r="R115" s="28"/>
      <c r="S115" s="28"/>
      <c r="T115" s="28"/>
    </row>
    <row r="116" customFormat="false" ht="11.25" hidden="false" customHeight="false" outlineLevel="0" collapsed="false">
      <c r="D116" s="28" t="s">
        <v>63</v>
      </c>
      <c r="E116" s="28" t="n">
        <v>8</v>
      </c>
      <c r="F116" s="29" t="s">
        <v>74</v>
      </c>
      <c r="G116" s="30" t="n">
        <v>3</v>
      </c>
      <c r="H116" s="28" t="n">
        <f aca="false">IF(TRIM(F116)="",0,1)</f>
        <v>1</v>
      </c>
      <c r="I116" s="28" t="n">
        <f aca="false">COUNT(G116:G116)</f>
        <v>1</v>
      </c>
      <c r="J116" s="28" t="n">
        <f aca="false">IF(I116 &gt;= H116,0,1)</f>
        <v>0</v>
      </c>
      <c r="K116" s="28" t="n">
        <f aca="false">IF(AND(I116 &gt; 0,H116=0),1,0)</f>
        <v>0</v>
      </c>
      <c r="L116" s="28"/>
      <c r="M116" s="28"/>
      <c r="N116" s="28"/>
      <c r="O116" s="28"/>
      <c r="P116" s="28"/>
      <c r="Q116" s="28"/>
      <c r="R116" s="28"/>
      <c r="S116" s="28"/>
      <c r="T116" s="28"/>
    </row>
    <row r="117" customFormat="false" ht="11.25" hidden="false" customHeight="false" outlineLevel="0" collapsed="false">
      <c r="D117" s="28" t="s">
        <v>63</v>
      </c>
      <c r="E117" s="28" t="n">
        <v>10</v>
      </c>
      <c r="F117" s="29" t="s">
        <v>74</v>
      </c>
      <c r="G117" s="30" t="n">
        <v>3</v>
      </c>
      <c r="H117" s="28" t="n">
        <f aca="false">IF(TRIM(F117)="",0,1)</f>
        <v>1</v>
      </c>
      <c r="I117" s="28" t="n">
        <f aca="false">COUNT(G117:G117)</f>
        <v>1</v>
      </c>
      <c r="J117" s="28" t="n">
        <f aca="false">IF(I117 &gt;= H117,0,1)</f>
        <v>0</v>
      </c>
      <c r="K117" s="28" t="n">
        <f aca="false">IF(AND(I117 &gt; 0,H117=0),1,0)</f>
        <v>0</v>
      </c>
      <c r="L117" s="28"/>
      <c r="M117" s="28"/>
      <c r="N117" s="28"/>
      <c r="O117" s="28"/>
      <c r="P117" s="28"/>
      <c r="Q117" s="28"/>
      <c r="R117" s="28"/>
      <c r="S117" s="28"/>
      <c r="T117" s="28"/>
    </row>
    <row r="118" customFormat="false" ht="11.25" hidden="false" customHeight="false" outlineLevel="0" collapsed="false">
      <c r="D118" s="28" t="s">
        <v>63</v>
      </c>
      <c r="E118" s="28" t="n">
        <v>12</v>
      </c>
      <c r="F118" s="29" t="s">
        <v>74</v>
      </c>
      <c r="G118" s="30" t="n">
        <v>3</v>
      </c>
      <c r="H118" s="28" t="n">
        <f aca="false">IF(TRIM(F118)="",0,1)</f>
        <v>1</v>
      </c>
      <c r="I118" s="28" t="n">
        <f aca="false">COUNT(G118:G118)</f>
        <v>1</v>
      </c>
      <c r="J118" s="28" t="n">
        <f aca="false">IF(I118 &gt;= H118,0,1)</f>
        <v>0</v>
      </c>
      <c r="K118" s="28" t="n">
        <f aca="false">IF(AND(I118 &gt; 0,H118=0),1,0)</f>
        <v>0</v>
      </c>
      <c r="L118" s="28"/>
      <c r="M118" s="28"/>
      <c r="N118" s="28"/>
      <c r="O118" s="28"/>
      <c r="P118" s="28"/>
      <c r="Q118" s="28"/>
      <c r="R118" s="28"/>
      <c r="S118" s="28"/>
      <c r="T118" s="28"/>
    </row>
    <row r="119" customFormat="false" ht="11.25" hidden="false" customHeight="false" outlineLevel="0" collapsed="false">
      <c r="D119" s="28" t="s">
        <v>63</v>
      </c>
      <c r="E119" s="28" t="n">
        <v>22</v>
      </c>
      <c r="F119" s="29" t="s">
        <v>74</v>
      </c>
      <c r="G119" s="30" t="n">
        <v>3</v>
      </c>
      <c r="H119" s="28" t="n">
        <f aca="false">IF(TRIM(F119)="",0,1)</f>
        <v>1</v>
      </c>
      <c r="I119" s="28" t="n">
        <f aca="false">COUNT(G119:G119)</f>
        <v>1</v>
      </c>
      <c r="J119" s="28" t="n">
        <f aca="false">IF(I119 &gt;= H119,0,1)</f>
        <v>0</v>
      </c>
      <c r="K119" s="28" t="n">
        <f aca="false">IF(AND(I119 &gt; 0,H119=0),1,0)</f>
        <v>0</v>
      </c>
      <c r="L119" s="28"/>
      <c r="M119" s="28"/>
      <c r="N119" s="28"/>
      <c r="O119" s="28"/>
      <c r="P119" s="28"/>
      <c r="Q119" s="28"/>
      <c r="R119" s="28"/>
      <c r="S119" s="28"/>
      <c r="T119" s="28"/>
    </row>
    <row r="120" customFormat="false" ht="11.25" hidden="false" customHeight="false" outlineLevel="0" collapsed="false">
      <c r="D120" s="28" t="s">
        <v>63</v>
      </c>
      <c r="E120" s="28" t="n">
        <v>38</v>
      </c>
      <c r="F120" s="29" t="s">
        <v>74</v>
      </c>
      <c r="G120" s="30" t="n">
        <v>3</v>
      </c>
      <c r="H120" s="28" t="n">
        <f aca="false">IF(TRIM(F120)="",0,1)</f>
        <v>1</v>
      </c>
      <c r="I120" s="28" t="n">
        <f aca="false">COUNT(G120:G120)</f>
        <v>1</v>
      </c>
      <c r="J120" s="28" t="n">
        <f aca="false">IF(I120 &gt;= H120,0,1)</f>
        <v>0</v>
      </c>
      <c r="K120" s="28" t="n">
        <f aca="false">IF(AND(I120 &gt; 0,H120=0),1,0)</f>
        <v>0</v>
      </c>
      <c r="L120" s="28"/>
      <c r="M120" s="28"/>
      <c r="N120" s="28"/>
      <c r="O120" s="28"/>
      <c r="P120" s="28"/>
      <c r="Q120" s="28"/>
      <c r="R120" s="28"/>
      <c r="S120" s="28"/>
      <c r="T120" s="28"/>
    </row>
    <row r="121" customFormat="false" ht="11.25" hidden="false" customHeight="false" outlineLevel="0" collapsed="false">
      <c r="D121" s="28" t="s">
        <v>63</v>
      </c>
      <c r="E121" s="28" t="n">
        <v>55</v>
      </c>
      <c r="F121" s="29" t="s">
        <v>74</v>
      </c>
      <c r="G121" s="30" t="n">
        <v>3</v>
      </c>
      <c r="H121" s="28" t="n">
        <f aca="false">IF(TRIM(F121)="",0,1)</f>
        <v>1</v>
      </c>
      <c r="I121" s="28" t="n">
        <f aca="false">COUNT(G121:G121)</f>
        <v>1</v>
      </c>
      <c r="J121" s="28" t="n">
        <f aca="false">IF(I121 &gt;= H121,0,1)</f>
        <v>0</v>
      </c>
      <c r="K121" s="28" t="n">
        <f aca="false">IF(AND(I121 &gt; 0,H121=0),1,0)</f>
        <v>0</v>
      </c>
      <c r="L121" s="28"/>
      <c r="M121" s="28"/>
      <c r="N121" s="28"/>
      <c r="O121" s="28"/>
      <c r="P121" s="28"/>
      <c r="Q121" s="28"/>
      <c r="R121" s="28"/>
      <c r="S121" s="28"/>
      <c r="T121" s="28"/>
    </row>
    <row r="122" customFormat="false" ht="11.25" hidden="false" customHeight="false" outlineLevel="0" collapsed="false">
      <c r="D122" s="28" t="s">
        <v>63</v>
      </c>
      <c r="E122" s="28" t="n">
        <v>65</v>
      </c>
      <c r="F122" s="29" t="s">
        <v>74</v>
      </c>
      <c r="G122" s="30" t="n">
        <v>3</v>
      </c>
      <c r="H122" s="28" t="n">
        <f aca="false">IF(TRIM(F122)="",0,1)</f>
        <v>1</v>
      </c>
      <c r="I122" s="28" t="n">
        <f aca="false">COUNT(G122:G122)</f>
        <v>1</v>
      </c>
      <c r="J122" s="28" t="n">
        <f aca="false">IF(I122 &gt;= H122,0,1)</f>
        <v>0</v>
      </c>
      <c r="K122" s="28" t="n">
        <f aca="false">IF(AND(I122 &gt; 0,H122=0),1,0)</f>
        <v>0</v>
      </c>
      <c r="L122" s="28"/>
      <c r="M122" s="28"/>
      <c r="N122" s="28"/>
      <c r="O122" s="28"/>
      <c r="P122" s="28"/>
      <c r="Q122" s="28"/>
      <c r="R122" s="28"/>
      <c r="S122" s="28"/>
      <c r="T122" s="28"/>
    </row>
    <row r="123" customFormat="false" ht="11.25" hidden="false" customHeight="false" outlineLevel="0" collapsed="false">
      <c r="D123" s="28" t="s">
        <v>63</v>
      </c>
      <c r="E123" s="28" t="n">
        <v>74</v>
      </c>
      <c r="F123" s="29" t="s">
        <v>74</v>
      </c>
      <c r="G123" s="30" t="n">
        <v>3</v>
      </c>
      <c r="H123" s="28" t="n">
        <f aca="false">IF(TRIM(F123)="",0,1)</f>
        <v>1</v>
      </c>
      <c r="I123" s="28" t="n">
        <f aca="false">COUNT(G123:G123)</f>
        <v>1</v>
      </c>
      <c r="J123" s="28" t="n">
        <f aca="false">IF(I123 &gt;= H123,0,1)</f>
        <v>0</v>
      </c>
      <c r="K123" s="28" t="n">
        <f aca="false">IF(AND(I123 &gt; 0,H123=0),1,0)</f>
        <v>0</v>
      </c>
      <c r="L123" s="28"/>
      <c r="M123" s="28"/>
      <c r="N123" s="28"/>
      <c r="O123" s="28"/>
      <c r="P123" s="28"/>
      <c r="Q123" s="28"/>
      <c r="R123" s="28"/>
      <c r="S123" s="28"/>
      <c r="T123" s="28"/>
    </row>
    <row r="124" customFormat="false" ht="11.25" hidden="false" customHeight="false" outlineLevel="0" collapsed="false">
      <c r="D124" s="28" t="s">
        <v>63</v>
      </c>
      <c r="E124" s="28" t="n">
        <v>37</v>
      </c>
      <c r="F124" s="29" t="s">
        <v>75</v>
      </c>
      <c r="G124" s="30" t="n">
        <v>3</v>
      </c>
      <c r="H124" s="28" t="n">
        <f aca="false">IF(TRIM(F124)="",0,1)</f>
        <v>1</v>
      </c>
      <c r="I124" s="28" t="n">
        <f aca="false">COUNT(G124:G124)</f>
        <v>1</v>
      </c>
      <c r="J124" s="28" t="n">
        <f aca="false">IF(I124 &gt;= H124,0,1)</f>
        <v>0</v>
      </c>
      <c r="K124" s="28" t="n">
        <f aca="false">IF(AND(I124 &gt; 0,H124=0),1,0)</f>
        <v>0</v>
      </c>
      <c r="L124" s="28"/>
      <c r="M124" s="28"/>
      <c r="N124" s="28"/>
      <c r="O124" s="28"/>
      <c r="P124" s="28"/>
      <c r="Q124" s="28"/>
      <c r="R124" s="28"/>
      <c r="S124" s="28"/>
      <c r="T124" s="28"/>
    </row>
    <row r="125" customFormat="false" ht="11.25" hidden="false" customHeight="false" outlineLevel="0" collapsed="false">
      <c r="D125" s="28" t="s">
        <v>63</v>
      </c>
      <c r="E125" s="28" t="n">
        <v>39</v>
      </c>
      <c r="F125" s="29" t="s">
        <v>75</v>
      </c>
      <c r="G125" s="30" t="n">
        <v>3</v>
      </c>
      <c r="H125" s="28" t="n">
        <f aca="false">IF(TRIM(F125)="",0,1)</f>
        <v>1</v>
      </c>
      <c r="I125" s="28" t="n">
        <f aca="false">COUNT(G125:G125)</f>
        <v>1</v>
      </c>
      <c r="J125" s="28" t="n">
        <f aca="false">IF(I125 &gt;= H125,0,1)</f>
        <v>0</v>
      </c>
      <c r="K125" s="28" t="n">
        <f aca="false">IF(AND(I125 &gt; 0,H125=0),1,0)</f>
        <v>0</v>
      </c>
      <c r="L125" s="28"/>
      <c r="M125" s="28"/>
      <c r="N125" s="28"/>
      <c r="O125" s="28"/>
      <c r="P125" s="28"/>
      <c r="Q125" s="28"/>
      <c r="R125" s="28"/>
      <c r="S125" s="28"/>
      <c r="T125" s="28"/>
    </row>
    <row r="126" customFormat="false" ht="11.25" hidden="false" customHeight="false" outlineLevel="0" collapsed="false">
      <c r="D126" s="28" t="s">
        <v>63</v>
      </c>
      <c r="E126" s="28" t="n">
        <v>43</v>
      </c>
      <c r="F126" s="29" t="s">
        <v>75</v>
      </c>
      <c r="G126" s="30" t="n">
        <v>3</v>
      </c>
      <c r="H126" s="28" t="n">
        <f aca="false">IF(TRIM(F126)="",0,1)</f>
        <v>1</v>
      </c>
      <c r="I126" s="28" t="n">
        <f aca="false">COUNT(G126:G126)</f>
        <v>1</v>
      </c>
      <c r="J126" s="28" t="n">
        <f aca="false">IF(I126 &gt;= H126,0,1)</f>
        <v>0</v>
      </c>
      <c r="K126" s="28" t="n">
        <f aca="false">IF(AND(I126 &gt; 0,H126=0),1,0)</f>
        <v>0</v>
      </c>
      <c r="L126" s="28"/>
      <c r="M126" s="28"/>
      <c r="N126" s="28"/>
      <c r="O126" s="28"/>
      <c r="P126" s="28"/>
      <c r="Q126" s="28"/>
      <c r="R126" s="28"/>
      <c r="S126" s="28"/>
      <c r="T126" s="28"/>
    </row>
    <row r="127" customFormat="false" ht="11.25" hidden="false" customHeight="false" outlineLevel="0" collapsed="false">
      <c r="D127" s="28" t="s">
        <v>63</v>
      </c>
      <c r="E127" s="28" t="n">
        <v>53</v>
      </c>
      <c r="F127" s="29" t="s">
        <v>75</v>
      </c>
      <c r="G127" s="30" t="n">
        <v>3</v>
      </c>
      <c r="H127" s="28" t="n">
        <f aca="false">IF(TRIM(F127)="",0,1)</f>
        <v>1</v>
      </c>
      <c r="I127" s="28" t="n">
        <f aca="false">COUNT(G127:G127)</f>
        <v>1</v>
      </c>
      <c r="J127" s="28" t="n">
        <f aca="false">IF(I127 &gt;= H127,0,1)</f>
        <v>0</v>
      </c>
      <c r="K127" s="28" t="n">
        <f aca="false">IF(AND(I127 &gt; 0,H127=0),1,0)</f>
        <v>0</v>
      </c>
      <c r="L127" s="28"/>
      <c r="M127" s="28"/>
      <c r="N127" s="28"/>
      <c r="O127" s="28"/>
      <c r="P127" s="28"/>
      <c r="Q127" s="28"/>
      <c r="R127" s="28"/>
      <c r="S127" s="28"/>
      <c r="T127" s="28"/>
    </row>
    <row r="128" customFormat="false" ht="11.25" hidden="false" customHeight="false" outlineLevel="0" collapsed="false">
      <c r="D128" s="28" t="s">
        <v>63</v>
      </c>
      <c r="E128" s="28" t="n">
        <v>64</v>
      </c>
      <c r="F128" s="29" t="s">
        <v>75</v>
      </c>
      <c r="G128" s="30" t="n">
        <v>3</v>
      </c>
      <c r="H128" s="28" t="n">
        <f aca="false">IF(TRIM(F128)="",0,1)</f>
        <v>1</v>
      </c>
      <c r="I128" s="28" t="n">
        <f aca="false">COUNT(G128:G128)</f>
        <v>1</v>
      </c>
      <c r="J128" s="28" t="n">
        <f aca="false">IF(I128 &gt;= H128,0,1)</f>
        <v>0</v>
      </c>
      <c r="K128" s="28" t="n">
        <f aca="false">IF(AND(I128 &gt; 0,H128=0),1,0)</f>
        <v>0</v>
      </c>
      <c r="L128" s="28"/>
      <c r="M128" s="28"/>
      <c r="N128" s="28"/>
      <c r="O128" s="28"/>
      <c r="P128" s="28"/>
      <c r="Q128" s="28"/>
      <c r="R128" s="28"/>
      <c r="S128" s="28"/>
      <c r="T128" s="28"/>
    </row>
    <row r="129" customFormat="false" ht="11.25" hidden="false" customHeight="false" outlineLevel="0" collapsed="false">
      <c r="D129" s="28" t="s">
        <v>63</v>
      </c>
      <c r="E129" s="28" t="n">
        <v>86</v>
      </c>
      <c r="F129" s="29" t="s">
        <v>75</v>
      </c>
      <c r="G129" s="30" t="n">
        <v>3</v>
      </c>
      <c r="H129" s="28" t="n">
        <f aca="false">IF(TRIM(F129)="",0,1)</f>
        <v>1</v>
      </c>
      <c r="I129" s="28" t="n">
        <f aca="false">COUNT(G129:G129)</f>
        <v>1</v>
      </c>
      <c r="J129" s="28" t="n">
        <f aca="false">IF(I129 &gt;= H129,0,1)</f>
        <v>0</v>
      </c>
      <c r="K129" s="28" t="n">
        <f aca="false">IF(AND(I129 &gt; 0,H129=0),1,0)</f>
        <v>0</v>
      </c>
      <c r="L129" s="28"/>
      <c r="M129" s="28"/>
      <c r="N129" s="28"/>
      <c r="O129" s="28"/>
      <c r="P129" s="28"/>
      <c r="Q129" s="28"/>
      <c r="R129" s="28"/>
      <c r="S129" s="28"/>
      <c r="T129" s="28"/>
    </row>
    <row r="130" customFormat="false" ht="11.25" hidden="false" customHeight="false" outlineLevel="0" collapsed="false">
      <c r="D130" s="28" t="s">
        <v>63</v>
      </c>
      <c r="E130" s="28" t="n">
        <v>89</v>
      </c>
      <c r="F130" s="29" t="s">
        <v>75</v>
      </c>
      <c r="G130" s="30" t="n">
        <v>3</v>
      </c>
      <c r="H130" s="28" t="n">
        <f aca="false">IF(TRIM(F130)="",0,1)</f>
        <v>1</v>
      </c>
      <c r="I130" s="28" t="n">
        <f aca="false">COUNT(G130:G130)</f>
        <v>1</v>
      </c>
      <c r="J130" s="28" t="n">
        <f aca="false">IF(I130 &gt;= H130,0,1)</f>
        <v>0</v>
      </c>
      <c r="K130" s="28" t="n">
        <f aca="false">IF(AND(I130 &gt; 0,H130=0),1,0)</f>
        <v>0</v>
      </c>
      <c r="L130" s="28"/>
      <c r="M130" s="28"/>
      <c r="N130" s="28"/>
      <c r="O130" s="28"/>
      <c r="P130" s="28"/>
      <c r="Q130" s="28"/>
      <c r="R130" s="28"/>
      <c r="S130" s="28"/>
      <c r="T130" s="28"/>
    </row>
    <row r="131" customFormat="false" ht="11.25" hidden="false" customHeight="false" outlineLevel="0" collapsed="false">
      <c r="D131" s="28" t="s">
        <v>63</v>
      </c>
      <c r="E131" s="28" t="n">
        <v>93</v>
      </c>
      <c r="F131" s="29" t="s">
        <v>75</v>
      </c>
      <c r="G131" s="30" t="n">
        <v>3</v>
      </c>
      <c r="H131" s="28" t="n">
        <f aca="false">IF(TRIM(F131)="",0,1)</f>
        <v>1</v>
      </c>
      <c r="I131" s="28" t="n">
        <f aca="false">COUNT(G131:G131)</f>
        <v>1</v>
      </c>
      <c r="J131" s="28" t="n">
        <f aca="false">IF(I131 &gt;= H131,0,1)</f>
        <v>0</v>
      </c>
      <c r="K131" s="28" t="n">
        <f aca="false">IF(AND(I131 &gt; 0,H131=0),1,0)</f>
        <v>0</v>
      </c>
      <c r="L131" s="28"/>
      <c r="M131" s="28"/>
      <c r="N131" s="28"/>
      <c r="O131" s="28"/>
      <c r="P131" s="28"/>
      <c r="Q131" s="28"/>
      <c r="R131" s="28"/>
      <c r="S131" s="28"/>
      <c r="T131" s="28"/>
    </row>
    <row r="132" customFormat="false" ht="11.25" hidden="false" customHeight="false" outlineLevel="0" collapsed="false">
      <c r="D132" s="28" t="s">
        <v>63</v>
      </c>
      <c r="E132" s="28" t="n">
        <v>100</v>
      </c>
      <c r="F132" s="29" t="s">
        <v>75</v>
      </c>
      <c r="G132" s="30" t="n">
        <v>3</v>
      </c>
      <c r="H132" s="28" t="n">
        <f aca="false">IF(TRIM(F132)="",0,1)</f>
        <v>1</v>
      </c>
      <c r="I132" s="28" t="n">
        <f aca="false">COUNT(G132:G132)</f>
        <v>1</v>
      </c>
      <c r="J132" s="28" t="n">
        <f aca="false">IF(I132 &gt;= H132,0,1)</f>
        <v>0</v>
      </c>
      <c r="K132" s="28" t="n">
        <f aca="false">IF(AND(I132 &gt; 0,H132=0),1,0)</f>
        <v>0</v>
      </c>
      <c r="L132" s="28"/>
      <c r="M132" s="28"/>
      <c r="N132" s="28"/>
      <c r="O132" s="28"/>
      <c r="P132" s="28"/>
      <c r="Q132" s="28"/>
      <c r="R132" s="28"/>
      <c r="S132" s="28"/>
      <c r="T132" s="28"/>
    </row>
  </sheetData>
  <sheetProtection sheet="true" objects="true" scenarios="true" formatCells="false" formatColumns="false" formatRows="false" sort="false" autoFilter="false"/>
  <autoFilter ref="D32:T132"/>
  <mergeCells count="2">
    <mergeCell ref="H11:J14"/>
    <mergeCell ref="H17:J30"/>
  </mergeCells>
  <conditionalFormatting sqref="H17">
    <cfRule type="cellIs" priority="2" operator="notEqual" aboveAverage="0" equalAverage="0" bottom="0" percent="0" rank="0" text="" dxfId="2">
      <formula>""</formula>
    </cfRule>
  </conditionalFormatting>
  <conditionalFormatting sqref="H11:J14">
    <cfRule type="expression" priority="3" aboveAverage="0" equalAverage="0" bottom="0" percent="0" rank="0" text="" dxfId="3">
      <formula>H6=H7</formula>
    </cfRule>
  </conditionalFormatting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2" topLeftCell="A125" activePane="bottomLeft" state="frozen"/>
      <selection pane="topLeft" activeCell="A1" activeCellId="0" sqref="A1"/>
      <selection pane="bottomLeft" activeCell="F136" activeCellId="0" sqref="F136"/>
    </sheetView>
  </sheetViews>
  <sheetFormatPr defaultColWidth="11.43359375" defaultRowHeight="11.25" zeroHeight="false" outlineLevelRow="0" outlineLevelCol="0"/>
  <cols>
    <col collapsed="false" customWidth="true" hidden="true" outlineLevel="0" max="3" min="1" style="6" width="11.52"/>
    <col collapsed="false" customWidth="true" hidden="false" outlineLevel="0" max="4" min="4" style="6" width="5.7"/>
    <col collapsed="false" customWidth="true" hidden="false" outlineLevel="0" max="5" min="5" style="6" width="6.71"/>
    <col collapsed="false" customWidth="true" hidden="false" outlineLevel="0" max="6" min="6" style="6" width="45.71"/>
    <col collapsed="false" customWidth="true" hidden="false" outlineLevel="0" max="20" min="7" style="6" width="7.71"/>
    <col collapsed="false" customWidth="true" hidden="true" outlineLevel="0" max="56" min="21" style="6" width="11.52"/>
    <col collapsed="false" customWidth="false" hidden="false" outlineLevel="0" max="1024" min="57" style="6" width="11.42"/>
  </cols>
  <sheetData>
    <row r="1" customFormat="false" ht="12" hidden="false" customHeight="true" outlineLevel="0" collapsed="false">
      <c r="A1" s="6" t="n">
        <v>1</v>
      </c>
      <c r="B1" s="6" t="str">
        <f aca="false">Codestufen!D2</f>
        <v>love</v>
      </c>
      <c r="C1" s="6" t="n">
        <f aca="false">COUNTIF(V_W_q6mdg_Zuord,A1)</f>
        <v>31</v>
      </c>
      <c r="D1" s="7" t="s">
        <v>76</v>
      </c>
      <c r="E1" s="8"/>
      <c r="F1" s="9"/>
      <c r="G1" s="8"/>
      <c r="H1" s="10"/>
      <c r="I1" s="8"/>
      <c r="J1" s="8"/>
    </row>
    <row r="2" customFormat="false" ht="3" hidden="false" customHeight="true" outlineLevel="0" collapsed="false">
      <c r="A2" s="11" t="n">
        <v>2</v>
      </c>
      <c r="B2" s="6" t="str">
        <f aca="false">Codestufen!D3</f>
        <v>joy</v>
      </c>
      <c r="C2" s="6" t="n">
        <f aca="false">COUNTIF(V_W_q6mdg_Zuord,A2)</f>
        <v>41</v>
      </c>
      <c r="D2" s="8"/>
      <c r="E2" s="8"/>
      <c r="F2" s="9"/>
      <c r="G2" s="8"/>
      <c r="H2" s="8"/>
      <c r="I2" s="8"/>
      <c r="J2" s="8"/>
    </row>
    <row r="3" customFormat="false" ht="11.25" hidden="false" customHeight="false" outlineLevel="0" collapsed="false">
      <c r="A3" s="6" t="n">
        <v>3</v>
      </c>
      <c r="B3" s="6" t="str">
        <f aca="false">Codestufen!D4</f>
        <v>happiness</v>
      </c>
      <c r="C3" s="6" t="n">
        <f aca="false">COUNTIF(V_W_q6mdg_Zuord,A3)</f>
        <v>28</v>
      </c>
      <c r="D3" s="12" t="n">
        <v>4</v>
      </c>
      <c r="E3" s="13" t="s">
        <v>13</v>
      </c>
      <c r="F3" s="13" t="s">
        <v>14</v>
      </c>
      <c r="G3" s="14" t="s">
        <v>15</v>
      </c>
      <c r="H3" s="15" t="s">
        <v>16</v>
      </c>
      <c r="I3" s="15"/>
      <c r="J3" s="16"/>
    </row>
    <row r="4" customFormat="false" ht="8.25" hidden="false" customHeight="true" outlineLevel="0" collapsed="false">
      <c r="A4" s="6" t="n">
        <v>4</v>
      </c>
      <c r="B4" s="6" t="str">
        <f aca="false">Codestufen!D5</f>
        <v>noch wat</v>
      </c>
      <c r="C4" s="6" t="n">
        <f aca="false">COUNTIF(V_W_q6mdg_Zuord,A4)</f>
        <v>3</v>
      </c>
      <c r="D4" s="17"/>
      <c r="E4" s="17"/>
      <c r="F4" s="17" t="str">
        <f aca="false">"Zuordnungen &lt; "&amp;E5</f>
        <v>Zuordnungen &lt; 1</v>
      </c>
      <c r="G4" s="17" t="n">
        <f aca="false">COUNTIF(V_W_q6mdg_Zuord,"&lt;"&amp;E5)</f>
        <v>0</v>
      </c>
      <c r="H4" s="16" t="n">
        <f aca="false">COUNTA(V_W_q6mdg_Datensaetze)/H5</f>
        <v>100</v>
      </c>
      <c r="I4" s="16" t="s">
        <v>17</v>
      </c>
      <c r="J4" s="16"/>
    </row>
    <row r="5" customFormat="false" ht="8.25" hidden="false" customHeight="true" outlineLevel="0" collapsed="false">
      <c r="A5" s="6" t="n">
        <v>5</v>
      </c>
      <c r="B5" s="6" t="n">
        <f aca="false">Codestufen!D6</f>
        <v>0</v>
      </c>
      <c r="C5" s="6" t="n">
        <f aca="false">COUNTIF(V_W_q6mdg_Zuord,A5)</f>
        <v>0</v>
      </c>
      <c r="D5" s="18" t="s">
        <v>18</v>
      </c>
      <c r="E5" s="18" t="n">
        <f aca="false">(4-D3)*20+1</f>
        <v>1</v>
      </c>
      <c r="F5" s="19" t="str">
        <f aca="false">HYPERLINK("#Codestufen!"&amp;ADDRESS(E5+1,D$6),IF(INDEX(V_W_q6mdg_CodestufenName,E5)=0,"",INDEX(V_W_q6mdg_CodestufenName,E5)))</f>
        <v>love</v>
      </c>
      <c r="G5" s="18" t="n">
        <f aca="false">INDEX(V_W_q6mdg_Codestufen,E5)</f>
        <v>31</v>
      </c>
      <c r="H5" s="16" t="n">
        <v>1</v>
      </c>
      <c r="I5" s="16" t="s">
        <v>19</v>
      </c>
      <c r="J5" s="16"/>
    </row>
    <row r="6" customFormat="false" ht="8.25" hidden="false" customHeight="true" outlineLevel="0" collapsed="false">
      <c r="A6" s="6" t="n">
        <v>6</v>
      </c>
      <c r="B6" s="6" t="n">
        <f aca="false">Codestufen!D7</f>
        <v>0</v>
      </c>
      <c r="C6" s="6" t="n">
        <f aca="false">COUNTIF(V_W_q6mdg_Zuord,A6)</f>
        <v>0</v>
      </c>
      <c r="D6" s="18" t="n">
        <v>4</v>
      </c>
      <c r="E6" s="18" t="n">
        <f aca="false">E5+1</f>
        <v>2</v>
      </c>
      <c r="F6" s="19" t="str">
        <f aca="false">HYPERLINK("#Codestufen!"&amp;ADDRESS(E6+1,D$6),IF(INDEX(V_W_q6mdg_CodestufenName,E6)=0,"",INDEX(V_W_q6mdg_CodestufenName,E6)))</f>
        <v>joy</v>
      </c>
      <c r="G6" s="18" t="n">
        <f aca="false">INDEX(V_W_q6mdg_Codestufen,E6)</f>
        <v>41</v>
      </c>
      <c r="H6" s="16" t="n">
        <f aca="false">SUM(V_W_q6mdg_Verbatims)</f>
        <v>100</v>
      </c>
      <c r="I6" s="16" t="s">
        <v>20</v>
      </c>
      <c r="J6" s="16"/>
    </row>
    <row r="7" customFormat="false" ht="8.25" hidden="false" customHeight="true" outlineLevel="0" collapsed="false">
      <c r="A7" s="6" t="n">
        <v>7</v>
      </c>
      <c r="B7" s="6" t="n">
        <f aca="false">Codestufen!D8</f>
        <v>0</v>
      </c>
      <c r="C7" s="6" t="n">
        <f aca="false">COUNTIF(V_W_q6mdg_Zuord,A7)</f>
        <v>0</v>
      </c>
      <c r="D7" s="18" t="s">
        <v>17</v>
      </c>
      <c r="E7" s="18" t="n">
        <f aca="false">E6+1</f>
        <v>3</v>
      </c>
      <c r="F7" s="19" t="str">
        <f aca="false">HYPERLINK("#Codestufen!"&amp;ADDRESS(E7+1,D$6),IF(INDEX(V_W_q6mdg_CodestufenName,E7)=0,"",INDEX(V_W_q6mdg_CodestufenName,E7)))</f>
        <v>happiness</v>
      </c>
      <c r="G7" s="18" t="n">
        <f aca="false">INDEX(V_W_q6mdg_Codestufen,E7)</f>
        <v>28</v>
      </c>
      <c r="H7" s="16" t="n">
        <f aca="false">COUNTIF(V_W_q6mdg_AnzZuord,"&gt;0")</f>
        <v>100</v>
      </c>
      <c r="I7" s="16" t="s">
        <v>21</v>
      </c>
      <c r="J7" s="16"/>
    </row>
    <row r="8" customFormat="false" ht="8.25" hidden="false" customHeight="true" outlineLevel="0" collapsed="false">
      <c r="A8" s="6" t="n">
        <v>8</v>
      </c>
      <c r="B8" s="6" t="n">
        <f aca="false">Codestufen!D9</f>
        <v>0</v>
      </c>
      <c r="C8" s="6" t="n">
        <f aca="false">COUNTIF(V_W_q6mdg_Zuord,A8)</f>
        <v>0</v>
      </c>
      <c r="D8" s="18" t="str">
        <f aca="false">"D33:D"&amp;D24</f>
        <v>D33:D132</v>
      </c>
      <c r="E8" s="18" t="n">
        <f aca="false">E7+1</f>
        <v>4</v>
      </c>
      <c r="F8" s="19" t="str">
        <f aca="false">HYPERLINK("#Codestufen!"&amp;ADDRESS(E8+1,D$6),IF(INDEX(V_W_q6mdg_CodestufenName,E8)=0,"",INDEX(V_W_q6mdg_CodestufenName,E8)))</f>
        <v>noch wat</v>
      </c>
      <c r="G8" s="18" t="n">
        <f aca="false">INDEX(V_W_q6mdg_Codestufen,E8)</f>
        <v>3</v>
      </c>
      <c r="H8" s="16" t="n">
        <f aca="false">SUM(V_W_q6mdg_AnzZuord)</f>
        <v>103</v>
      </c>
      <c r="I8" s="16" t="s">
        <v>22</v>
      </c>
      <c r="J8" s="16"/>
    </row>
    <row r="9" customFormat="false" ht="8.25" hidden="false" customHeight="true" outlineLevel="0" collapsed="false">
      <c r="A9" s="6" t="n">
        <v>9</v>
      </c>
      <c r="B9" s="6" t="n">
        <f aca="false">Codestufen!D10</f>
        <v>0</v>
      </c>
      <c r="C9" s="6" t="n">
        <f aca="false">COUNTIF(V_W_q6mdg_Zuord,A9)</f>
        <v>0</v>
      </c>
      <c r="D9" s="18" t="s">
        <v>20</v>
      </c>
      <c r="E9" s="18" t="n">
        <f aca="false">E8+1</f>
        <v>5</v>
      </c>
      <c r="F9" s="19" t="str">
        <f aca="false">HYPERLINK("#Codestufen!"&amp;ADDRESS(E9+1,D$6),IF(INDEX(V_W_q6mdg_CodestufenName,E9)=0,"",INDEX(V_W_q6mdg_CodestufenName,E9)))</f>
        <v/>
      </c>
      <c r="G9" s="18" t="n">
        <f aca="false">INDEX(V_W_q6mdg_Codestufen,E9)</f>
        <v>0</v>
      </c>
      <c r="H9" s="16"/>
      <c r="I9" s="16"/>
      <c r="J9" s="16"/>
    </row>
    <row r="10" customFormat="false" ht="8.25" hidden="false" customHeight="true" outlineLevel="0" collapsed="false">
      <c r="A10" s="6" t="n">
        <v>10</v>
      </c>
      <c r="B10" s="6" t="n">
        <f aca="false">Codestufen!D11</f>
        <v>0</v>
      </c>
      <c r="C10" s="6" t="n">
        <f aca="false">COUNTIF(V_W_q6mdg_Zuord,A10)</f>
        <v>0</v>
      </c>
      <c r="D10" s="18" t="str">
        <f aca="false">"Q33:Q"&amp;D24</f>
        <v>Q33:Q132</v>
      </c>
      <c r="E10" s="18" t="n">
        <f aca="false">E9+1</f>
        <v>6</v>
      </c>
      <c r="F10" s="19" t="str">
        <f aca="false">HYPERLINK("#Codestufen!"&amp;ADDRESS(E10+1,D$6),IF(INDEX(V_W_q6mdg_CodestufenName,E10)=0,"",INDEX(V_W_q6mdg_CodestufenName,E10)))</f>
        <v/>
      </c>
      <c r="G10" s="18" t="n">
        <f aca="false">INDEX(V_W_q6mdg_Codestufen,E10)</f>
        <v>0</v>
      </c>
      <c r="H10" s="15" t="s">
        <v>23</v>
      </c>
      <c r="I10" s="16"/>
      <c r="J10" s="16"/>
    </row>
    <row r="11" customFormat="false" ht="8.25" hidden="false" customHeight="true" outlineLevel="0" collapsed="false">
      <c r="A11" s="6" t="n">
        <v>11</v>
      </c>
      <c r="B11" s="6" t="n">
        <f aca="false">Codestufen!D12</f>
        <v>0</v>
      </c>
      <c r="C11" s="6" t="n">
        <f aca="false">COUNTIF(V_W_q6mdg_Zuord,A11)</f>
        <v>0</v>
      </c>
      <c r="D11" s="18" t="s">
        <v>21</v>
      </c>
      <c r="E11" s="18" t="n">
        <f aca="false">E10+1</f>
        <v>7</v>
      </c>
      <c r="F11" s="19" t="str">
        <f aca="false">HYPERLINK("#Codestufen!"&amp;ADDRESS(E11+1,D$6),IF(INDEX(V_W_q6mdg_CodestufenName,E11)=0,"",INDEX(V_W_q6mdg_CodestufenName,E11)))</f>
        <v/>
      </c>
      <c r="G11" s="18" t="n">
        <f aca="false">INDEX(V_W_q6mdg_Codestufen,E11)</f>
        <v>0</v>
      </c>
      <c r="H11" s="20" t="str">
        <f aca="false">H6-H7&amp;" Verbatims sind noch zuzuordnen"</f>
        <v>0 Verbatims sind noch zuzuordnen</v>
      </c>
      <c r="I11" s="20"/>
      <c r="J11" s="20"/>
    </row>
    <row r="12" customFormat="false" ht="8.25" hidden="false" customHeight="true" outlineLevel="0" collapsed="false">
      <c r="A12" s="6" t="n">
        <v>12</v>
      </c>
      <c r="B12" s="6" t="n">
        <f aca="false">Codestufen!D13</f>
        <v>0</v>
      </c>
      <c r="C12" s="6" t="n">
        <f aca="false">COUNTIF(V_W_q6mdg_Zuord,A12)</f>
        <v>0</v>
      </c>
      <c r="D12" s="18" t="str">
        <f aca="false">"G33:P"&amp;D24</f>
        <v>G33:P132</v>
      </c>
      <c r="E12" s="18" t="n">
        <f aca="false">E11+1</f>
        <v>8</v>
      </c>
      <c r="F12" s="19" t="str">
        <f aca="false">HYPERLINK("#Codestufen!"&amp;ADDRESS(E12+1,D$6),IF(INDEX(V_W_q6mdg_CodestufenName,E12)=0,"",INDEX(V_W_q6mdg_CodestufenName,E12)))</f>
        <v/>
      </c>
      <c r="G12" s="18" t="n">
        <f aca="false">INDEX(V_W_q6mdg_Codestufen,E12)</f>
        <v>0</v>
      </c>
      <c r="H12" s="20"/>
      <c r="I12" s="20"/>
      <c r="J12" s="20"/>
    </row>
    <row r="13" customFormat="false" ht="8.25" hidden="false" customHeight="true" outlineLevel="0" collapsed="false">
      <c r="A13" s="6" t="n">
        <v>13</v>
      </c>
      <c r="B13" s="6" t="n">
        <f aca="false">Codestufen!D14</f>
        <v>0</v>
      </c>
      <c r="C13" s="6" t="n">
        <f aca="false">COUNTIF(V_W_q6mdg_Zuord,A13)</f>
        <v>0</v>
      </c>
      <c r="D13" s="18" t="s">
        <v>24</v>
      </c>
      <c r="E13" s="18" t="n">
        <f aca="false">E12+1</f>
        <v>9</v>
      </c>
      <c r="F13" s="19" t="str">
        <f aca="false">HYPERLINK("#Codestufen!"&amp;ADDRESS(E13+1,D$6),IF(INDEX(V_W_q6mdg_CodestufenName,E13)=0,"",INDEX(V_W_q6mdg_CodestufenName,E13)))</f>
        <v/>
      </c>
      <c r="G13" s="18" t="n">
        <f aca="false">INDEX(V_W_q6mdg_Codestufen,E13)</f>
        <v>0</v>
      </c>
      <c r="H13" s="20"/>
      <c r="I13" s="20"/>
      <c r="J13" s="20"/>
    </row>
    <row r="14" customFormat="false" ht="8.25" hidden="false" customHeight="true" outlineLevel="0" collapsed="false">
      <c r="A14" s="6" t="n">
        <v>14</v>
      </c>
      <c r="B14" s="6" t="n">
        <f aca="false">Codestufen!D15</f>
        <v>0</v>
      </c>
      <c r="C14" s="6" t="n">
        <f aca="false">COUNTIF(V_W_q6mdg_Zuord,A14)</f>
        <v>0</v>
      </c>
      <c r="D14" s="18" t="str">
        <f aca="false">"R33:R"&amp;D24</f>
        <v>R33:R132</v>
      </c>
      <c r="E14" s="18" t="n">
        <f aca="false">E13+1</f>
        <v>10</v>
      </c>
      <c r="F14" s="19" t="str">
        <f aca="false">HYPERLINK("#Codestufen!"&amp;ADDRESS(E14+1,D$6),IF(INDEX(V_W_q6mdg_CodestufenName,E14)=0,"",INDEX(V_W_q6mdg_CodestufenName,E14)))</f>
        <v/>
      </c>
      <c r="G14" s="18" t="n">
        <f aca="false">INDEX(V_W_q6mdg_Codestufen,E14)</f>
        <v>0</v>
      </c>
      <c r="H14" s="20"/>
      <c r="I14" s="20"/>
      <c r="J14" s="20"/>
    </row>
    <row r="15" customFormat="false" ht="8.25" hidden="false" customHeight="true" outlineLevel="0" collapsed="false">
      <c r="A15" s="6" t="n">
        <v>15</v>
      </c>
      <c r="B15" s="6" t="n">
        <f aca="false">Codestufen!D16</f>
        <v>0</v>
      </c>
      <c r="C15" s="6" t="n">
        <f aca="false">COUNTIF(V_W_q6mdg_Zuord,A15)</f>
        <v>0</v>
      </c>
      <c r="D15" s="18" t="s">
        <v>25</v>
      </c>
      <c r="E15" s="18" t="n">
        <f aca="false">E14+1</f>
        <v>11</v>
      </c>
      <c r="F15" s="19" t="str">
        <f aca="false">HYPERLINK("#Codestufen!"&amp;ADDRESS(E15+1,D$6),IF(INDEX(V_W_q6mdg_CodestufenName,E15)=0,"",INDEX(V_W_q6mdg_CodestufenName,E15)))</f>
        <v/>
      </c>
      <c r="G15" s="18" t="n">
        <f aca="false">INDEX(V_W_q6mdg_Codestufen,E15)</f>
        <v>0</v>
      </c>
    </row>
    <row r="16" customFormat="false" ht="8.25" hidden="false" customHeight="true" outlineLevel="0" collapsed="false">
      <c r="A16" s="6" t="n">
        <v>16</v>
      </c>
      <c r="B16" s="6" t="n">
        <f aca="false">Codestufen!D17</f>
        <v>0</v>
      </c>
      <c r="C16" s="6" t="n">
        <f aca="false">COUNTIF(V_W_q6mdg_Zuord,A16)</f>
        <v>0</v>
      </c>
      <c r="D16" s="18" t="str">
        <f aca="false">"S33:S"&amp;D24</f>
        <v>S33:S132</v>
      </c>
      <c r="E16" s="18" t="n">
        <f aca="false">E15+1</f>
        <v>12</v>
      </c>
      <c r="F16" s="19" t="str">
        <f aca="false">HYPERLINK("#Codestufen!"&amp;ADDRESS(E16+1,D$6),IF(INDEX(V_W_q6mdg_CodestufenName,E16)=0,"",INDEX(V_W_q6mdg_CodestufenName,E16)))</f>
        <v/>
      </c>
      <c r="G16" s="18" t="n">
        <f aca="false">INDEX(V_W_q6mdg_Codestufen,E16)</f>
        <v>0</v>
      </c>
      <c r="H16" s="15"/>
      <c r="I16" s="21"/>
      <c r="J16" s="21"/>
    </row>
    <row r="17" customFormat="false" ht="8.25" hidden="false" customHeight="true" outlineLevel="0" collapsed="false">
      <c r="A17" s="6" t="n">
        <v>17</v>
      </c>
      <c r="B17" s="6" t="n">
        <f aca="false">Codestufen!D18</f>
        <v>0</v>
      </c>
      <c r="C17" s="6" t="n">
        <f aca="false">COUNTIF(V_W_q6mdg_Zuord,A17)</f>
        <v>0</v>
      </c>
      <c r="D17" s="18" t="s">
        <v>26</v>
      </c>
      <c r="E17" s="18" t="n">
        <f aca="false">E16+1</f>
        <v>13</v>
      </c>
      <c r="F17" s="19" t="str">
        <f aca="false">HYPERLINK("#Codestufen!"&amp;ADDRESS(E17+1,D$6),IF(INDEX(V_W_q6mdg_CodestufenName,E17)=0,"",INDEX(V_W_q6mdg_CodestufenName,E17)))</f>
        <v/>
      </c>
      <c r="G17" s="18" t="n">
        <f aca="false">INDEX(V_W_q6mdg_Codestufen,E17)</f>
        <v>0</v>
      </c>
      <c r="H17" s="22" t="str">
        <f aca="false">IF(SUM(V_W_q6mdg_Codestufen)&lt;&gt;SUMIF(V_W_q6mdg_CodestufenName,"&lt;&gt;0",V_W_q6mdg_Codestufen),"Es gibt Nennungen, die keinem Code zugeordnet werden können.","")&amp;IF(SUM(V_W_q6mdg_AnzZuordOVerb)&gt;0,"Es gibt Zuordnungen bei nicht vorhandenen Verbatims.","")</f>
        <v/>
      </c>
      <c r="I17" s="22"/>
      <c r="J17" s="22"/>
    </row>
    <row r="18" customFormat="false" ht="8.25" hidden="false" customHeight="true" outlineLevel="0" collapsed="false">
      <c r="A18" s="6" t="n">
        <v>18</v>
      </c>
      <c r="B18" s="6" t="n">
        <f aca="false">Codestufen!D19</f>
        <v>0</v>
      </c>
      <c r="C18" s="6" t="n">
        <f aca="false">COUNTIF(V_W_q6mdg_Zuord,A18)</f>
        <v>0</v>
      </c>
      <c r="D18" s="18" t="str">
        <f aca="false">"T33:T"&amp;D24</f>
        <v>T33:T132</v>
      </c>
      <c r="E18" s="18" t="n">
        <f aca="false">E17+1</f>
        <v>14</v>
      </c>
      <c r="F18" s="19" t="str">
        <f aca="false">HYPERLINK("#Codestufen!"&amp;ADDRESS(E18+1,D$6),IF(INDEX(V_W_q6mdg_CodestufenName,E18)=0,"",INDEX(V_W_q6mdg_CodestufenName,E18)))</f>
        <v/>
      </c>
      <c r="G18" s="18" t="n">
        <f aca="false">INDEX(V_W_q6mdg_Codestufen,E18)</f>
        <v>0</v>
      </c>
      <c r="H18" s="22"/>
      <c r="I18" s="22"/>
      <c r="J18" s="22"/>
    </row>
    <row r="19" customFormat="false" ht="8.25" hidden="false" customHeight="true" outlineLevel="0" collapsed="false">
      <c r="A19" s="6" t="n">
        <v>19</v>
      </c>
      <c r="B19" s="6" t="n">
        <f aca="false">Codestufen!D20</f>
        <v>0</v>
      </c>
      <c r="C19" s="6" t="n">
        <f aca="false">COUNTIF(V_W_q6mdg_Zuord,A19)</f>
        <v>0</v>
      </c>
      <c r="D19" s="18" t="s">
        <v>27</v>
      </c>
      <c r="E19" s="18" t="n">
        <f aca="false">E18+1</f>
        <v>15</v>
      </c>
      <c r="F19" s="19" t="str">
        <f aca="false">HYPERLINK("#Codestufen!"&amp;ADDRESS(E19+1,D$6),IF(INDEX(V_W_q6mdg_CodestufenName,E19)=0,"",INDEX(V_W_q6mdg_CodestufenName,E19)))</f>
        <v/>
      </c>
      <c r="G19" s="18" t="n">
        <f aca="false">INDEX(V_W_q6mdg_Codestufen,E19)</f>
        <v>0</v>
      </c>
      <c r="H19" s="22"/>
      <c r="I19" s="22"/>
      <c r="J19" s="22"/>
    </row>
    <row r="20" customFormat="false" ht="8.25" hidden="false" customHeight="true" outlineLevel="0" collapsed="false">
      <c r="A20" s="6" t="n">
        <v>20</v>
      </c>
      <c r="B20" s="6" t="n">
        <f aca="false">Codestufen!D21</f>
        <v>0</v>
      </c>
      <c r="C20" s="6" t="n">
        <f aca="false">COUNTIF(V_W_q6mdg_Zuord,A20)</f>
        <v>0</v>
      </c>
      <c r="D20" s="18" t="s">
        <v>28</v>
      </c>
      <c r="E20" s="18" t="n">
        <f aca="false">E19+1</f>
        <v>16</v>
      </c>
      <c r="F20" s="19" t="str">
        <f aca="false">HYPERLINK("#Codestufen!"&amp;ADDRESS(E20+1,D$6),IF(INDEX(V_W_q6mdg_CodestufenName,E20)=0,"",INDEX(V_W_q6mdg_CodestufenName,E20)))</f>
        <v/>
      </c>
      <c r="G20" s="18" t="n">
        <f aca="false">INDEX(V_W_q6mdg_Codestufen,E20)</f>
        <v>0</v>
      </c>
      <c r="H20" s="22"/>
      <c r="I20" s="22"/>
      <c r="J20" s="22"/>
    </row>
    <row r="21" customFormat="false" ht="8.25" hidden="false" customHeight="true" outlineLevel="0" collapsed="false">
      <c r="A21" s="6" t="n">
        <v>21</v>
      </c>
      <c r="B21" s="6" t="n">
        <f aca="false">Codestufen!D22</f>
        <v>0</v>
      </c>
      <c r="C21" s="6" t="n">
        <f aca="false">COUNTIF(V_W_q6mdg_Zuord,A21)</f>
        <v>0</v>
      </c>
      <c r="D21" s="18" t="s">
        <v>29</v>
      </c>
      <c r="E21" s="18" t="n">
        <f aca="false">E20+1</f>
        <v>17</v>
      </c>
      <c r="F21" s="19" t="str">
        <f aca="false">HYPERLINK("#Codestufen!"&amp;ADDRESS(E21+1,D$6),IF(INDEX(V_W_q6mdg_CodestufenName,E21)=0,"",INDEX(V_W_q6mdg_CodestufenName,E21)))</f>
        <v/>
      </c>
      <c r="G21" s="18" t="n">
        <f aca="false">INDEX(V_W_q6mdg_Codestufen,E21)</f>
        <v>0</v>
      </c>
      <c r="H21" s="22"/>
      <c r="I21" s="22"/>
      <c r="J21" s="22"/>
    </row>
    <row r="22" customFormat="false" ht="8.25" hidden="false" customHeight="true" outlineLevel="0" collapsed="false">
      <c r="A22" s="6" t="n">
        <v>22</v>
      </c>
      <c r="B22" s="6" t="n">
        <f aca="false">Codestufen!D23</f>
        <v>0</v>
      </c>
      <c r="C22" s="6" t="n">
        <f aca="false">COUNTIF(V_W_q6mdg_Zuord,A22)</f>
        <v>0</v>
      </c>
      <c r="D22" s="18" t="s">
        <v>30</v>
      </c>
      <c r="E22" s="18" t="n">
        <f aca="false">E21+1</f>
        <v>18</v>
      </c>
      <c r="F22" s="19" t="str">
        <f aca="false">HYPERLINK("#Codestufen!"&amp;ADDRESS(E22+1,D$6),IF(INDEX(V_W_q6mdg_CodestufenName,E22)=0,"",INDEX(V_W_q6mdg_CodestufenName,E22)))</f>
        <v/>
      </c>
      <c r="G22" s="18" t="n">
        <f aca="false">INDEX(V_W_q6mdg_Codestufen,E22)</f>
        <v>0</v>
      </c>
      <c r="H22" s="22"/>
      <c r="I22" s="22"/>
      <c r="J22" s="22"/>
    </row>
    <row r="23" customFormat="false" ht="8.25" hidden="false" customHeight="true" outlineLevel="0" collapsed="false">
      <c r="A23" s="6" t="n">
        <v>23</v>
      </c>
      <c r="B23" s="6" t="n">
        <f aca="false">Codestufen!D24</f>
        <v>0</v>
      </c>
      <c r="C23" s="6" t="n">
        <f aca="false">COUNTIF(V_W_q6mdg_Zuord,A23)</f>
        <v>0</v>
      </c>
      <c r="D23" s="18" t="s">
        <v>31</v>
      </c>
      <c r="E23" s="18" t="n">
        <f aca="false">E22+1</f>
        <v>19</v>
      </c>
      <c r="F23" s="19" t="str">
        <f aca="false">HYPERLINK("#Codestufen!"&amp;ADDRESS(E23+1,D$6),IF(INDEX(V_W_q6mdg_CodestufenName,E23)=0,"",INDEX(V_W_q6mdg_CodestufenName,E23)))</f>
        <v/>
      </c>
      <c r="G23" s="18" t="n">
        <f aca="false">INDEX(V_W_q6mdg_Codestufen,E23)</f>
        <v>0</v>
      </c>
      <c r="H23" s="22"/>
      <c r="I23" s="22"/>
      <c r="J23" s="22"/>
    </row>
    <row r="24" customFormat="false" ht="8.25" hidden="false" customHeight="true" outlineLevel="0" collapsed="false">
      <c r="A24" s="6" t="n">
        <v>24</v>
      </c>
      <c r="B24" s="6" t="n">
        <f aca="false">Codestufen!D25</f>
        <v>0</v>
      </c>
      <c r="C24" s="6" t="n">
        <f aca="false">COUNTIF(V_W_q6mdg_Zuord,A24)</f>
        <v>0</v>
      </c>
      <c r="D24" s="18" t="n">
        <v>132</v>
      </c>
      <c r="E24" s="18" t="n">
        <f aca="false">E23+1</f>
        <v>20</v>
      </c>
      <c r="F24" s="19" t="str">
        <f aca="false">HYPERLINK("#Codestufen!"&amp;ADDRESS(E24+1,D$6),IF(INDEX(V_W_q6mdg_CodestufenName,E24)=0,"",INDEX(V_W_q6mdg_CodestufenName,E24)))</f>
        <v/>
      </c>
      <c r="G24" s="18" t="n">
        <f aca="false">INDEX(V_W_q6mdg_Codestufen,E24)</f>
        <v>0</v>
      </c>
      <c r="H24" s="22"/>
      <c r="I24" s="22"/>
      <c r="J24" s="22"/>
    </row>
    <row r="25" customFormat="false" ht="8.25" hidden="false" customHeight="true" outlineLevel="0" collapsed="false">
      <c r="A25" s="6" t="n">
        <v>25</v>
      </c>
      <c r="B25" s="6" t="n">
        <f aca="false">Codestufen!D26</f>
        <v>0</v>
      </c>
      <c r="C25" s="6" t="n">
        <f aca="false">COUNTIF(V_W_q6mdg_Zuord,A25)</f>
        <v>0</v>
      </c>
      <c r="D25" s="17"/>
      <c r="E25" s="17"/>
      <c r="F25" s="17" t="str">
        <f aca="false">"Zuordnungen &gt; " &amp;E24&amp; " und &lt; "&amp;E26</f>
        <v>Zuordnungen &gt; 20 und &lt; 97</v>
      </c>
      <c r="G25" s="17" t="n">
        <f aca="false">COUNTIF(V_W_q6mdg_Zuord,"&lt;"&amp;E26)-SUM(G4:G24)</f>
        <v>0</v>
      </c>
      <c r="H25" s="22"/>
      <c r="I25" s="22"/>
      <c r="J25" s="22"/>
    </row>
    <row r="26" customFormat="false" ht="8.25" hidden="false" customHeight="true" outlineLevel="0" collapsed="false">
      <c r="A26" s="6" t="n">
        <v>26</v>
      </c>
      <c r="B26" s="6" t="n">
        <f aca="false">Codestufen!D27</f>
        <v>0</v>
      </c>
      <c r="C26" s="6" t="n">
        <f aca="false">COUNTIF(V_W_q6mdg_Zuord,A26)</f>
        <v>0</v>
      </c>
      <c r="D26" s="23" t="s">
        <v>32</v>
      </c>
      <c r="E26" s="18" t="n">
        <f aca="false">D29</f>
        <v>97</v>
      </c>
      <c r="F26" s="19" t="str">
        <f aca="false">HYPERLINK("#Codestufen!"&amp;ADDRESS(E26+1,D$6),IF(INDEX(V_W_q6mdg_CodestufenName,E26)=0,"",INDEX(V_W_q6mdg_CodestufenName,E26)))</f>
        <v>Others</v>
      </c>
      <c r="G26" s="18" t="n">
        <f aca="false">INDEX(V_W_q6mdg_Codestufen,E26)</f>
        <v>0</v>
      </c>
      <c r="H26" s="22"/>
      <c r="I26" s="22"/>
      <c r="J26" s="22"/>
    </row>
    <row r="27" customFormat="false" ht="8.25" hidden="false" customHeight="true" outlineLevel="0" collapsed="false">
      <c r="A27" s="6" t="n">
        <v>27</v>
      </c>
      <c r="B27" s="6" t="n">
        <f aca="false">Codestufen!D28</f>
        <v>0</v>
      </c>
      <c r="C27" s="6" t="n">
        <f aca="false">COUNTIF(V_W_q6mdg_Zuord,A27)</f>
        <v>0</v>
      </c>
      <c r="D27" s="24" t="s">
        <v>33</v>
      </c>
      <c r="E27" s="18" t="n">
        <f aca="false">E26+1</f>
        <v>98</v>
      </c>
      <c r="F27" s="19" t="str">
        <f aca="false">HYPERLINK("#Codestufen!"&amp;ADDRESS(E27+1,D$6),IF(INDEX(V_W_q6mdg_CodestufenName,E27)=0,"",INDEX(V_W_q6mdg_CodestufenName,E27)))</f>
        <v/>
      </c>
      <c r="G27" s="18" t="n">
        <f aca="false">INDEX(V_W_q6mdg_Codestufen,E27)</f>
        <v>0</v>
      </c>
      <c r="H27" s="22"/>
      <c r="I27" s="22"/>
      <c r="J27" s="22"/>
    </row>
    <row r="28" customFormat="false" ht="8.25" hidden="false" customHeight="true" outlineLevel="0" collapsed="false">
      <c r="A28" s="6" t="n">
        <v>28</v>
      </c>
      <c r="B28" s="6" t="n">
        <f aca="false">Codestufen!D29</f>
        <v>0</v>
      </c>
      <c r="C28" s="6" t="n">
        <f aca="false">COUNTIF(V_W_q6mdg_Zuord,A28)</f>
        <v>0</v>
      </c>
      <c r="D28" s="24" t="s">
        <v>34</v>
      </c>
      <c r="E28" s="18" t="n">
        <f aca="false">E27+1</f>
        <v>99</v>
      </c>
      <c r="F28" s="19" t="str">
        <f aca="false">HYPERLINK("#Codestufen!"&amp;ADDRESS(E28+1,D$6),IF(INDEX(V_W_q6mdg_CodestufenName,E28)=0,"",INDEX(V_W_q6mdg_CodestufenName,E28)))</f>
        <v>No answer</v>
      </c>
      <c r="G28" s="18" t="n">
        <f aca="false">INDEX(V_W_q6mdg_Codestufen,E28)</f>
        <v>0</v>
      </c>
      <c r="H28" s="22"/>
      <c r="I28" s="22"/>
      <c r="J28" s="22"/>
    </row>
    <row r="29" customFormat="false" ht="8.25" hidden="false" customHeight="true" outlineLevel="0" collapsed="false">
      <c r="A29" s="6" t="n">
        <v>29</v>
      </c>
      <c r="B29" s="6" t="n">
        <f aca="false">Codestufen!D30</f>
        <v>0</v>
      </c>
      <c r="C29" s="6" t="n">
        <f aca="false">COUNTIF(V_W_q6mdg_Zuord,A29)</f>
        <v>0</v>
      </c>
      <c r="D29" s="25" t="n">
        <v>97</v>
      </c>
      <c r="E29" s="18" t="n">
        <f aca="false">E28+1</f>
        <v>100</v>
      </c>
      <c r="F29" s="19" t="str">
        <f aca="false">HYPERLINK("#Codestufen!"&amp;ADDRESS(E29+1,D$6),IF(INDEX(V_W_q6mdg_CodestufenName,E29)=0,"",INDEX(V_W_q6mdg_CodestufenName,E29)))</f>
        <v/>
      </c>
      <c r="G29" s="18" t="n">
        <f aca="false">INDEX(V_W_q6mdg_Codestufen,E29)</f>
        <v>0</v>
      </c>
      <c r="H29" s="22"/>
      <c r="I29" s="22"/>
      <c r="J29" s="22"/>
    </row>
    <row r="30" customFormat="false" ht="8.25" hidden="false" customHeight="true" outlineLevel="0" collapsed="false">
      <c r="A30" s="6" t="n">
        <v>30</v>
      </c>
      <c r="B30" s="6" t="n">
        <f aca="false">Codestufen!D31</f>
        <v>0</v>
      </c>
      <c r="C30" s="6" t="n">
        <f aca="false">COUNTIF(V_W_q6mdg_Zuord,A30)</f>
        <v>0</v>
      </c>
      <c r="D30" s="17"/>
      <c r="E30" s="17"/>
      <c r="F30" s="17" t="str">
        <f aca="false">"Zuordnungen &gt; " &amp;E29</f>
        <v>Zuordnungen &gt; 100</v>
      </c>
      <c r="G30" s="17" t="n">
        <f aca="false">COUNTIF(V_W_q6mdg_Zuord,"&gt;"&amp;E29)</f>
        <v>0</v>
      </c>
      <c r="H30" s="22"/>
      <c r="I30" s="22"/>
      <c r="J30" s="22"/>
    </row>
    <row r="31" customFormat="false" ht="8.25" hidden="false" customHeight="true" outlineLevel="0" collapsed="false">
      <c r="A31" s="6" t="n">
        <v>31</v>
      </c>
      <c r="B31" s="6" t="n">
        <f aca="false">Codestufen!D32</f>
        <v>0</v>
      </c>
      <c r="C31" s="6" t="n">
        <f aca="false">COUNTIF(V_W_q6mdg_Zuord,A31)</f>
        <v>0</v>
      </c>
    </row>
    <row r="32" s="26" customFormat="true" ht="33.75" hidden="false" customHeight="false" outlineLevel="0" collapsed="false">
      <c r="A32" s="26" t="n">
        <v>32</v>
      </c>
      <c r="B32" s="6" t="n">
        <f aca="false">Codestufen!D33</f>
        <v>0</v>
      </c>
      <c r="C32" s="6" t="n">
        <f aca="false">COUNTIF(V_W_q6mdg_Zuord,A32)</f>
        <v>0</v>
      </c>
      <c r="D32" s="27" t="s">
        <v>35</v>
      </c>
      <c r="E32" s="27" t="s">
        <v>36</v>
      </c>
      <c r="F32" s="27" t="s">
        <v>37</v>
      </c>
      <c r="G32" s="27" t="s">
        <v>38</v>
      </c>
      <c r="H32" s="27" t="s">
        <v>77</v>
      </c>
      <c r="I32" s="27" t="s">
        <v>78</v>
      </c>
      <c r="J32" s="27" t="s">
        <v>79</v>
      </c>
      <c r="K32" s="27" t="s">
        <v>80</v>
      </c>
      <c r="L32" s="27" t="s">
        <v>81</v>
      </c>
      <c r="M32" s="27" t="s">
        <v>82</v>
      </c>
      <c r="N32" s="27" t="s">
        <v>83</v>
      </c>
      <c r="O32" s="27" t="s">
        <v>84</v>
      </c>
      <c r="P32" s="27" t="s">
        <v>85</v>
      </c>
      <c r="Q32" s="27" t="s">
        <v>39</v>
      </c>
      <c r="R32" s="27" t="s">
        <v>40</v>
      </c>
      <c r="S32" s="27" t="s">
        <v>41</v>
      </c>
      <c r="T32" s="27" t="s">
        <v>42</v>
      </c>
      <c r="U32" s="27" t="s">
        <v>43</v>
      </c>
      <c r="V32" s="27" t="s">
        <v>44</v>
      </c>
      <c r="W32" s="27" t="s">
        <v>45</v>
      </c>
      <c r="X32" s="27" t="s">
        <v>46</v>
      </c>
      <c r="Y32" s="27" t="s">
        <v>86</v>
      </c>
      <c r="Z32" s="27" t="s">
        <v>87</v>
      </c>
      <c r="AA32" s="27" t="s">
        <v>88</v>
      </c>
      <c r="AB32" s="27" t="s">
        <v>89</v>
      </c>
      <c r="AC32" s="27" t="s">
        <v>90</v>
      </c>
      <c r="AD32" s="27" t="s">
        <v>91</v>
      </c>
      <c r="AE32" s="27" t="s">
        <v>92</v>
      </c>
      <c r="AF32" s="27" t="s">
        <v>93</v>
      </c>
      <c r="AG32" s="27" t="s">
        <v>94</v>
      </c>
      <c r="AH32" s="27" t="s">
        <v>47</v>
      </c>
      <c r="AI32" s="27" t="s">
        <v>95</v>
      </c>
      <c r="AJ32" s="27" t="s">
        <v>96</v>
      </c>
      <c r="AK32" s="27" t="s">
        <v>97</v>
      </c>
      <c r="AL32" s="27" t="s">
        <v>98</v>
      </c>
      <c r="AM32" s="27" t="s">
        <v>99</v>
      </c>
      <c r="AN32" s="27" t="s">
        <v>100</v>
      </c>
      <c r="AO32" s="27" t="s">
        <v>101</v>
      </c>
      <c r="AP32" s="27" t="s">
        <v>102</v>
      </c>
      <c r="AQ32" s="27" t="s">
        <v>103</v>
      </c>
      <c r="AR32" s="27" t="s">
        <v>48</v>
      </c>
      <c r="AS32" s="27" t="s">
        <v>104</v>
      </c>
      <c r="AT32" s="27" t="s">
        <v>105</v>
      </c>
      <c r="AU32" s="27" t="s">
        <v>106</v>
      </c>
      <c r="AV32" s="27" t="s">
        <v>107</v>
      </c>
      <c r="AW32" s="27" t="s">
        <v>108</v>
      </c>
      <c r="AX32" s="27" t="s">
        <v>109</v>
      </c>
      <c r="AY32" s="27" t="s">
        <v>110</v>
      </c>
      <c r="AZ32" s="27" t="s">
        <v>111</v>
      </c>
      <c r="BA32" s="27" t="s">
        <v>112</v>
      </c>
      <c r="BB32" s="27" t="s">
        <v>49</v>
      </c>
      <c r="BC32" s="27" t="s">
        <v>50</v>
      </c>
      <c r="BD32" s="27" t="s">
        <v>51</v>
      </c>
    </row>
    <row r="33" customFormat="false" ht="11.25" hidden="false" customHeight="false" outlineLevel="0" collapsed="false">
      <c r="A33" s="6" t="n">
        <v>33</v>
      </c>
      <c r="B33" s="6" t="n">
        <f aca="false">Codestufen!D34</f>
        <v>0</v>
      </c>
      <c r="C33" s="6" t="n">
        <f aca="false">COUNTIF(V_W_q6mdg_Zuord,A33)</f>
        <v>0</v>
      </c>
      <c r="D33" s="28" t="s">
        <v>52</v>
      </c>
      <c r="E33" s="28" t="n">
        <v>7</v>
      </c>
      <c r="F33" s="29" t="s">
        <v>53</v>
      </c>
      <c r="G33" s="30" t="n">
        <v>1</v>
      </c>
      <c r="H33" s="30" t="n">
        <v>4</v>
      </c>
      <c r="I33" s="30"/>
      <c r="J33" s="30"/>
      <c r="K33" s="30"/>
      <c r="L33" s="30"/>
      <c r="M33" s="30"/>
      <c r="N33" s="30"/>
      <c r="O33" s="30"/>
      <c r="P33" s="30"/>
      <c r="Q33" s="28" t="n">
        <f aca="false">IF(TRIM(F33)="",0,1)</f>
        <v>1</v>
      </c>
      <c r="R33" s="28" t="n">
        <f aca="false">COUNT(G33:P33)</f>
        <v>2</v>
      </c>
      <c r="S33" s="28" t="n">
        <f aca="false">IF(R33 &gt;= Q33,0,1)</f>
        <v>0</v>
      </c>
      <c r="T33" s="28" t="n">
        <f aca="false">IF(AND(R33 &gt; 0,Q33=0),1,0)</f>
        <v>0</v>
      </c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</row>
    <row r="34" customFormat="false" ht="11.25" hidden="false" customHeight="false" outlineLevel="0" collapsed="false">
      <c r="A34" s="6" t="n">
        <v>34</v>
      </c>
      <c r="B34" s="6" t="n">
        <f aca="false">Codestufen!D35</f>
        <v>0</v>
      </c>
      <c r="C34" s="6" t="n">
        <f aca="false">COUNTIF(V_W_q6mdg_Zuord,A34)</f>
        <v>0</v>
      </c>
      <c r="D34" s="28" t="s">
        <v>52</v>
      </c>
      <c r="E34" s="28" t="n">
        <v>17</v>
      </c>
      <c r="F34" s="29" t="s">
        <v>53</v>
      </c>
      <c r="G34" s="30" t="n">
        <v>1</v>
      </c>
      <c r="H34" s="30"/>
      <c r="I34" s="30"/>
      <c r="J34" s="30"/>
      <c r="K34" s="30"/>
      <c r="L34" s="30"/>
      <c r="M34" s="30"/>
      <c r="N34" s="30"/>
      <c r="O34" s="30"/>
      <c r="P34" s="30"/>
      <c r="Q34" s="28" t="n">
        <f aca="false">IF(TRIM(F34)="",0,1)</f>
        <v>1</v>
      </c>
      <c r="R34" s="28" t="n">
        <f aca="false">COUNT(G34:P34)</f>
        <v>1</v>
      </c>
      <c r="S34" s="28" t="n">
        <f aca="false">IF(R34 &gt;= Q34,0,1)</f>
        <v>0</v>
      </c>
      <c r="T34" s="28" t="n">
        <f aca="false">IF(AND(R34 &gt; 0,Q34=0),1,0)</f>
        <v>0</v>
      </c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</row>
    <row r="35" customFormat="false" ht="11.25" hidden="false" customHeight="false" outlineLevel="0" collapsed="false">
      <c r="A35" s="6" t="n">
        <v>35</v>
      </c>
      <c r="B35" s="6" t="n">
        <f aca="false">Codestufen!D36</f>
        <v>0</v>
      </c>
      <c r="C35" s="6" t="n">
        <f aca="false">COUNTIF(V_W_q6mdg_Zuord,A35)</f>
        <v>0</v>
      </c>
      <c r="D35" s="28" t="s">
        <v>52</v>
      </c>
      <c r="E35" s="28" t="n">
        <v>23</v>
      </c>
      <c r="F35" s="29" t="s">
        <v>53</v>
      </c>
      <c r="G35" s="30" t="n">
        <v>1</v>
      </c>
      <c r="H35" s="30"/>
      <c r="I35" s="30"/>
      <c r="J35" s="30"/>
      <c r="K35" s="30"/>
      <c r="L35" s="30"/>
      <c r="M35" s="30"/>
      <c r="N35" s="30"/>
      <c r="O35" s="30"/>
      <c r="P35" s="30"/>
      <c r="Q35" s="28" t="n">
        <f aca="false">IF(TRIM(F35)="",0,1)</f>
        <v>1</v>
      </c>
      <c r="R35" s="28" t="n">
        <f aca="false">COUNT(G35:P35)</f>
        <v>1</v>
      </c>
      <c r="S35" s="28" t="n">
        <f aca="false">IF(R35 &gt;= Q35,0,1)</f>
        <v>0</v>
      </c>
      <c r="T35" s="28" t="n">
        <f aca="false">IF(AND(R35 &gt; 0,Q35=0),1,0)</f>
        <v>0</v>
      </c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</row>
    <row r="36" customFormat="false" ht="11.25" hidden="false" customHeight="false" outlineLevel="0" collapsed="false">
      <c r="A36" s="6" t="n">
        <v>36</v>
      </c>
      <c r="B36" s="6" t="n">
        <f aca="false">Codestufen!D37</f>
        <v>0</v>
      </c>
      <c r="C36" s="6" t="n">
        <f aca="false">COUNTIF(V_W_q6mdg_Zuord,A36)</f>
        <v>0</v>
      </c>
      <c r="D36" s="28" t="s">
        <v>52</v>
      </c>
      <c r="E36" s="28" t="n">
        <v>51</v>
      </c>
      <c r="F36" s="29" t="s">
        <v>53</v>
      </c>
      <c r="G36" s="30" t="n">
        <v>1</v>
      </c>
      <c r="H36" s="30"/>
      <c r="I36" s="30"/>
      <c r="J36" s="30"/>
      <c r="K36" s="30"/>
      <c r="L36" s="30"/>
      <c r="M36" s="30"/>
      <c r="N36" s="30"/>
      <c r="O36" s="30"/>
      <c r="P36" s="30"/>
      <c r="Q36" s="28" t="n">
        <f aca="false">IF(TRIM(F36)="",0,1)</f>
        <v>1</v>
      </c>
      <c r="R36" s="28" t="n">
        <f aca="false">COUNT(G36:P36)</f>
        <v>1</v>
      </c>
      <c r="S36" s="28" t="n">
        <f aca="false">IF(R36 &gt;= Q36,0,1)</f>
        <v>0</v>
      </c>
      <c r="T36" s="28" t="n">
        <f aca="false">IF(AND(R36 &gt; 0,Q36=0),1,0)</f>
        <v>0</v>
      </c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</row>
    <row r="37" customFormat="false" ht="11.25" hidden="false" customHeight="false" outlineLevel="0" collapsed="false">
      <c r="A37" s="6" t="n">
        <v>37</v>
      </c>
      <c r="B37" s="6" t="n">
        <f aca="false">Codestufen!D38</f>
        <v>0</v>
      </c>
      <c r="C37" s="6" t="n">
        <f aca="false">COUNTIF(V_W_q6mdg_Zuord,A37)</f>
        <v>0</v>
      </c>
      <c r="D37" s="28" t="s">
        <v>52</v>
      </c>
      <c r="E37" s="28" t="n">
        <v>58</v>
      </c>
      <c r="F37" s="29" t="s">
        <v>53</v>
      </c>
      <c r="G37" s="30" t="n">
        <v>1</v>
      </c>
      <c r="H37" s="30" t="n">
        <v>4</v>
      </c>
      <c r="I37" s="30"/>
      <c r="J37" s="30"/>
      <c r="K37" s="30"/>
      <c r="L37" s="30"/>
      <c r="M37" s="30"/>
      <c r="N37" s="30"/>
      <c r="O37" s="30"/>
      <c r="P37" s="30"/>
      <c r="Q37" s="28" t="n">
        <f aca="false">IF(TRIM(F37)="",0,1)</f>
        <v>1</v>
      </c>
      <c r="R37" s="28" t="n">
        <f aca="false">COUNT(G37:P37)</f>
        <v>2</v>
      </c>
      <c r="S37" s="28" t="n">
        <f aca="false">IF(R37 &gt;= Q37,0,1)</f>
        <v>0</v>
      </c>
      <c r="T37" s="28" t="n">
        <f aca="false">IF(AND(R37 &gt; 0,Q37=0),1,0)</f>
        <v>0</v>
      </c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</row>
    <row r="38" customFormat="false" ht="11.25" hidden="false" customHeight="false" outlineLevel="0" collapsed="false">
      <c r="A38" s="6" t="n">
        <v>38</v>
      </c>
      <c r="B38" s="6" t="n">
        <f aca="false">Codestufen!D39</f>
        <v>0</v>
      </c>
      <c r="C38" s="6" t="n">
        <f aca="false">COUNTIF(V_W_q6mdg_Zuord,A38)</f>
        <v>0</v>
      </c>
      <c r="D38" s="28" t="s">
        <v>52</v>
      </c>
      <c r="E38" s="28" t="n">
        <v>65</v>
      </c>
      <c r="F38" s="29" t="s">
        <v>53</v>
      </c>
      <c r="G38" s="30" t="n">
        <v>1</v>
      </c>
      <c r="H38" s="30"/>
      <c r="I38" s="30"/>
      <c r="J38" s="30"/>
      <c r="K38" s="30"/>
      <c r="L38" s="30"/>
      <c r="M38" s="30"/>
      <c r="N38" s="30"/>
      <c r="O38" s="30"/>
      <c r="P38" s="30"/>
      <c r="Q38" s="28" t="n">
        <f aca="false">IF(TRIM(F38)="",0,1)</f>
        <v>1</v>
      </c>
      <c r="R38" s="28" t="n">
        <f aca="false">COUNT(G38:P38)</f>
        <v>1</v>
      </c>
      <c r="S38" s="28" t="n">
        <f aca="false">IF(R38 &gt;= Q38,0,1)</f>
        <v>0</v>
      </c>
      <c r="T38" s="28" t="n">
        <f aca="false">IF(AND(R38 &gt; 0,Q38=0),1,0)</f>
        <v>0</v>
      </c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</row>
    <row r="39" customFormat="false" ht="11.25" hidden="false" customHeight="false" outlineLevel="0" collapsed="false">
      <c r="A39" s="6" t="n">
        <v>39</v>
      </c>
      <c r="B39" s="6" t="n">
        <f aca="false">Codestufen!D40</f>
        <v>0</v>
      </c>
      <c r="C39" s="6" t="n">
        <f aca="false">COUNTIF(V_W_q6mdg_Zuord,A39)</f>
        <v>0</v>
      </c>
      <c r="D39" s="28" t="s">
        <v>52</v>
      </c>
      <c r="E39" s="28" t="n">
        <v>67</v>
      </c>
      <c r="F39" s="29" t="s">
        <v>53</v>
      </c>
      <c r="G39" s="30" t="n">
        <v>1</v>
      </c>
      <c r="H39" s="30"/>
      <c r="I39" s="30"/>
      <c r="J39" s="30"/>
      <c r="K39" s="30"/>
      <c r="L39" s="30"/>
      <c r="M39" s="30"/>
      <c r="N39" s="30"/>
      <c r="O39" s="30"/>
      <c r="P39" s="30"/>
      <c r="Q39" s="28" t="n">
        <f aca="false">IF(TRIM(F39)="",0,1)</f>
        <v>1</v>
      </c>
      <c r="R39" s="28" t="n">
        <f aca="false">COUNT(G39:P39)</f>
        <v>1</v>
      </c>
      <c r="S39" s="28" t="n">
        <f aca="false">IF(R39 &gt;= Q39,0,1)</f>
        <v>0</v>
      </c>
      <c r="T39" s="28" t="n">
        <f aca="false">IF(AND(R39 &gt; 0,Q39=0),1,0)</f>
        <v>0</v>
      </c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</row>
    <row r="40" customFormat="false" ht="11.25" hidden="false" customHeight="false" outlineLevel="0" collapsed="false">
      <c r="A40" s="6" t="n">
        <v>40</v>
      </c>
      <c r="B40" s="6" t="n">
        <f aca="false">Codestufen!D41</f>
        <v>0</v>
      </c>
      <c r="C40" s="6" t="n">
        <f aca="false">COUNTIF(V_W_q6mdg_Zuord,A40)</f>
        <v>0</v>
      </c>
      <c r="D40" s="28" t="s">
        <v>52</v>
      </c>
      <c r="E40" s="28" t="n">
        <v>73</v>
      </c>
      <c r="F40" s="29" t="s">
        <v>53</v>
      </c>
      <c r="G40" s="30" t="n">
        <v>1</v>
      </c>
      <c r="H40" s="30" t="n">
        <v>4</v>
      </c>
      <c r="I40" s="30"/>
      <c r="J40" s="30"/>
      <c r="K40" s="30"/>
      <c r="L40" s="30"/>
      <c r="M40" s="30"/>
      <c r="N40" s="30"/>
      <c r="O40" s="30"/>
      <c r="P40" s="30"/>
      <c r="Q40" s="28" t="n">
        <f aca="false">IF(TRIM(F40)="",0,1)</f>
        <v>1</v>
      </c>
      <c r="R40" s="28" t="n">
        <f aca="false">COUNT(G40:P40)</f>
        <v>2</v>
      </c>
      <c r="S40" s="28" t="n">
        <f aca="false">IF(R40 &gt;= Q40,0,1)</f>
        <v>0</v>
      </c>
      <c r="T40" s="28" t="n">
        <f aca="false">IF(AND(R40 &gt; 0,Q40=0),1,0)</f>
        <v>0</v>
      </c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</row>
    <row r="41" customFormat="false" ht="11.25" hidden="false" customHeight="false" outlineLevel="0" collapsed="false">
      <c r="A41" s="6" t="n">
        <v>41</v>
      </c>
      <c r="B41" s="6" t="n">
        <f aca="false">Codestufen!D42</f>
        <v>0</v>
      </c>
      <c r="C41" s="6" t="n">
        <f aca="false">COUNTIF(V_W_q6mdg_Zuord,A41)</f>
        <v>0</v>
      </c>
      <c r="D41" s="28" t="s">
        <v>52</v>
      </c>
      <c r="E41" s="28" t="n">
        <v>74</v>
      </c>
      <c r="F41" s="29" t="s">
        <v>53</v>
      </c>
      <c r="G41" s="30" t="n">
        <v>1</v>
      </c>
      <c r="H41" s="30"/>
      <c r="I41" s="30"/>
      <c r="J41" s="30"/>
      <c r="K41" s="30"/>
      <c r="L41" s="30"/>
      <c r="M41" s="30"/>
      <c r="N41" s="30"/>
      <c r="O41" s="30"/>
      <c r="P41" s="30"/>
      <c r="Q41" s="28" t="n">
        <f aca="false">IF(TRIM(F41)="",0,1)</f>
        <v>1</v>
      </c>
      <c r="R41" s="28" t="n">
        <f aca="false">COUNT(G41:P41)</f>
        <v>1</v>
      </c>
      <c r="S41" s="28" t="n">
        <f aca="false">IF(R41 &gt;= Q41,0,1)</f>
        <v>0</v>
      </c>
      <c r="T41" s="28" t="n">
        <f aca="false">IF(AND(R41 &gt; 0,Q41=0),1,0)</f>
        <v>0</v>
      </c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</row>
    <row r="42" customFormat="false" ht="11.25" hidden="false" customHeight="false" outlineLevel="0" collapsed="false">
      <c r="A42" s="6" t="n">
        <v>42</v>
      </c>
      <c r="B42" s="6" t="n">
        <f aca="false">Codestufen!D43</f>
        <v>0</v>
      </c>
      <c r="C42" s="6" t="n">
        <f aca="false">COUNTIF(V_W_q6mdg_Zuord,A42)</f>
        <v>0</v>
      </c>
      <c r="D42" s="28" t="s">
        <v>52</v>
      </c>
      <c r="E42" s="28" t="n">
        <v>91</v>
      </c>
      <c r="F42" s="29" t="s">
        <v>53</v>
      </c>
      <c r="G42" s="30" t="n">
        <v>1</v>
      </c>
      <c r="H42" s="30"/>
      <c r="I42" s="30"/>
      <c r="J42" s="30"/>
      <c r="K42" s="30"/>
      <c r="L42" s="30"/>
      <c r="M42" s="30"/>
      <c r="N42" s="30"/>
      <c r="O42" s="30"/>
      <c r="P42" s="30"/>
      <c r="Q42" s="28" t="n">
        <f aca="false">IF(TRIM(F42)="",0,1)</f>
        <v>1</v>
      </c>
      <c r="R42" s="28" t="n">
        <f aca="false">COUNT(G42:P42)</f>
        <v>1</v>
      </c>
      <c r="S42" s="28" t="n">
        <f aca="false">IF(R42 &gt;= Q42,0,1)</f>
        <v>0</v>
      </c>
      <c r="T42" s="28" t="n">
        <f aca="false">IF(AND(R42 &gt; 0,Q42=0),1,0)</f>
        <v>0</v>
      </c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</row>
    <row r="43" customFormat="false" ht="11.25" hidden="false" customHeight="false" outlineLevel="0" collapsed="false">
      <c r="A43" s="6" t="n">
        <v>43</v>
      </c>
      <c r="B43" s="6" t="n">
        <f aca="false">Codestufen!D44</f>
        <v>0</v>
      </c>
      <c r="C43" s="6" t="n">
        <f aca="false">COUNTIF(V_W_q6mdg_Zuord,A43)</f>
        <v>0</v>
      </c>
      <c r="D43" s="28" t="s">
        <v>52</v>
      </c>
      <c r="E43" s="28" t="n">
        <v>100</v>
      </c>
      <c r="F43" s="29" t="s">
        <v>53</v>
      </c>
      <c r="G43" s="30" t="n">
        <v>1</v>
      </c>
      <c r="H43" s="30"/>
      <c r="I43" s="30"/>
      <c r="J43" s="30"/>
      <c r="K43" s="30"/>
      <c r="L43" s="30"/>
      <c r="M43" s="30"/>
      <c r="N43" s="30"/>
      <c r="O43" s="30"/>
      <c r="P43" s="30"/>
      <c r="Q43" s="28" t="n">
        <f aca="false">IF(TRIM(F43)="",0,1)</f>
        <v>1</v>
      </c>
      <c r="R43" s="28" t="n">
        <f aca="false">COUNT(G43:P43)</f>
        <v>1</v>
      </c>
      <c r="S43" s="28" t="n">
        <f aca="false">IF(R43 &gt;= Q43,0,1)</f>
        <v>0</v>
      </c>
      <c r="T43" s="28" t="n">
        <f aca="false">IF(AND(R43 &gt; 0,Q43=0),1,0)</f>
        <v>0</v>
      </c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</row>
    <row r="44" customFormat="false" ht="11.25" hidden="false" customHeight="false" outlineLevel="0" collapsed="false">
      <c r="A44" s="6" t="n">
        <v>44</v>
      </c>
      <c r="B44" s="6" t="n">
        <f aca="false">Codestufen!D45</f>
        <v>0</v>
      </c>
      <c r="C44" s="6" t="n">
        <f aca="false">COUNTIF(V_W_q6mdg_Zuord,A44)</f>
        <v>0</v>
      </c>
      <c r="D44" s="28" t="s">
        <v>52</v>
      </c>
      <c r="E44" s="28" t="n">
        <v>3</v>
      </c>
      <c r="F44" s="29" t="s">
        <v>54</v>
      </c>
      <c r="G44" s="30" t="n">
        <v>2</v>
      </c>
      <c r="H44" s="30"/>
      <c r="I44" s="30"/>
      <c r="J44" s="30"/>
      <c r="K44" s="30"/>
      <c r="L44" s="30"/>
      <c r="M44" s="30"/>
      <c r="N44" s="30"/>
      <c r="O44" s="30"/>
      <c r="P44" s="30"/>
      <c r="Q44" s="28" t="n">
        <f aca="false">IF(TRIM(F44)="",0,1)</f>
        <v>1</v>
      </c>
      <c r="R44" s="28" t="n">
        <f aca="false">COUNT(G44:P44)</f>
        <v>1</v>
      </c>
      <c r="S44" s="28" t="n">
        <f aca="false">IF(R44 &gt;= Q44,0,1)</f>
        <v>0</v>
      </c>
      <c r="T44" s="28" t="n">
        <f aca="false">IF(AND(R44 &gt; 0,Q44=0),1,0)</f>
        <v>0</v>
      </c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</row>
    <row r="45" customFormat="false" ht="11.25" hidden="false" customHeight="false" outlineLevel="0" collapsed="false">
      <c r="A45" s="6" t="n">
        <v>45</v>
      </c>
      <c r="B45" s="6" t="n">
        <f aca="false">Codestufen!D46</f>
        <v>0</v>
      </c>
      <c r="C45" s="6" t="n">
        <f aca="false">COUNTIF(V_W_q6mdg_Zuord,A45)</f>
        <v>0</v>
      </c>
      <c r="D45" s="28" t="s">
        <v>52</v>
      </c>
      <c r="E45" s="28" t="n">
        <v>13</v>
      </c>
      <c r="F45" s="29" t="s">
        <v>54</v>
      </c>
      <c r="G45" s="30" t="n">
        <v>2</v>
      </c>
      <c r="H45" s="30"/>
      <c r="I45" s="30"/>
      <c r="J45" s="30"/>
      <c r="K45" s="30"/>
      <c r="L45" s="30"/>
      <c r="M45" s="30"/>
      <c r="N45" s="30"/>
      <c r="O45" s="30"/>
      <c r="P45" s="30"/>
      <c r="Q45" s="28" t="n">
        <f aca="false">IF(TRIM(F45)="",0,1)</f>
        <v>1</v>
      </c>
      <c r="R45" s="28" t="n">
        <f aca="false">COUNT(G45:P45)</f>
        <v>1</v>
      </c>
      <c r="S45" s="28" t="n">
        <f aca="false">IF(R45 &gt;= Q45,0,1)</f>
        <v>0</v>
      </c>
      <c r="T45" s="28" t="n">
        <f aca="false">IF(AND(R45 &gt; 0,Q45=0),1,0)</f>
        <v>0</v>
      </c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</row>
    <row r="46" customFormat="false" ht="11.25" hidden="false" customHeight="false" outlineLevel="0" collapsed="false">
      <c r="A46" s="6" t="n">
        <v>46</v>
      </c>
      <c r="B46" s="6" t="n">
        <f aca="false">Codestufen!D47</f>
        <v>0</v>
      </c>
      <c r="C46" s="6" t="n">
        <f aca="false">COUNTIF(V_W_q6mdg_Zuord,A46)</f>
        <v>0</v>
      </c>
      <c r="D46" s="28" t="s">
        <v>52</v>
      </c>
      <c r="E46" s="28" t="n">
        <v>22</v>
      </c>
      <c r="F46" s="29" t="s">
        <v>54</v>
      </c>
      <c r="G46" s="30" t="n">
        <v>2</v>
      </c>
      <c r="H46" s="30"/>
      <c r="I46" s="30"/>
      <c r="J46" s="30"/>
      <c r="K46" s="30"/>
      <c r="L46" s="30"/>
      <c r="M46" s="30"/>
      <c r="N46" s="30"/>
      <c r="O46" s="30"/>
      <c r="P46" s="30"/>
      <c r="Q46" s="28" t="n">
        <f aca="false">IF(TRIM(F46)="",0,1)</f>
        <v>1</v>
      </c>
      <c r="R46" s="28" t="n">
        <f aca="false">COUNT(G46:P46)</f>
        <v>1</v>
      </c>
      <c r="S46" s="28" t="n">
        <f aca="false">IF(R46 &gt;= Q46,0,1)</f>
        <v>0</v>
      </c>
      <c r="T46" s="28" t="n">
        <f aca="false">IF(AND(R46 &gt; 0,Q46=0),1,0)</f>
        <v>0</v>
      </c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</row>
    <row r="47" customFormat="false" ht="11.25" hidden="false" customHeight="false" outlineLevel="0" collapsed="false">
      <c r="A47" s="6" t="n">
        <v>47</v>
      </c>
      <c r="B47" s="6" t="n">
        <f aca="false">Codestufen!D48</f>
        <v>0</v>
      </c>
      <c r="C47" s="6" t="n">
        <f aca="false">COUNTIF(V_W_q6mdg_Zuord,A47)</f>
        <v>0</v>
      </c>
      <c r="D47" s="28" t="s">
        <v>52</v>
      </c>
      <c r="E47" s="28" t="n">
        <v>26</v>
      </c>
      <c r="F47" s="29" t="s">
        <v>54</v>
      </c>
      <c r="G47" s="30" t="n">
        <v>2</v>
      </c>
      <c r="H47" s="30"/>
      <c r="I47" s="30"/>
      <c r="J47" s="30"/>
      <c r="K47" s="30"/>
      <c r="L47" s="30"/>
      <c r="M47" s="30"/>
      <c r="N47" s="30"/>
      <c r="O47" s="30"/>
      <c r="P47" s="30"/>
      <c r="Q47" s="28" t="n">
        <f aca="false">IF(TRIM(F47)="",0,1)</f>
        <v>1</v>
      </c>
      <c r="R47" s="28" t="n">
        <f aca="false">COUNT(G47:P47)</f>
        <v>1</v>
      </c>
      <c r="S47" s="28" t="n">
        <f aca="false">IF(R47 &gt;= Q47,0,1)</f>
        <v>0</v>
      </c>
      <c r="T47" s="28" t="n">
        <f aca="false">IF(AND(R47 &gt; 0,Q47=0),1,0)</f>
        <v>0</v>
      </c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</row>
    <row r="48" customFormat="false" ht="11.25" hidden="false" customHeight="false" outlineLevel="0" collapsed="false">
      <c r="A48" s="6" t="n">
        <v>48</v>
      </c>
      <c r="B48" s="6" t="n">
        <f aca="false">Codestufen!D49</f>
        <v>0</v>
      </c>
      <c r="C48" s="6" t="n">
        <f aca="false">COUNTIF(V_W_q6mdg_Zuord,A48)</f>
        <v>0</v>
      </c>
      <c r="D48" s="28" t="s">
        <v>52</v>
      </c>
      <c r="E48" s="28" t="n">
        <v>35</v>
      </c>
      <c r="F48" s="29" t="s">
        <v>54</v>
      </c>
      <c r="G48" s="30" t="n">
        <v>2</v>
      </c>
      <c r="H48" s="30"/>
      <c r="I48" s="30"/>
      <c r="J48" s="30"/>
      <c r="K48" s="30"/>
      <c r="L48" s="30"/>
      <c r="M48" s="30"/>
      <c r="N48" s="30"/>
      <c r="O48" s="30"/>
      <c r="P48" s="30"/>
      <c r="Q48" s="28" t="n">
        <f aca="false">IF(TRIM(F48)="",0,1)</f>
        <v>1</v>
      </c>
      <c r="R48" s="28" t="n">
        <f aca="false">COUNT(G48:P48)</f>
        <v>1</v>
      </c>
      <c r="S48" s="28" t="n">
        <f aca="false">IF(R48 &gt;= Q48,0,1)</f>
        <v>0</v>
      </c>
      <c r="T48" s="28" t="n">
        <f aca="false">IF(AND(R48 &gt; 0,Q48=0),1,0)</f>
        <v>0</v>
      </c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</row>
    <row r="49" customFormat="false" ht="11.25" hidden="false" customHeight="false" outlineLevel="0" collapsed="false">
      <c r="A49" s="6" t="n">
        <v>49</v>
      </c>
      <c r="B49" s="6" t="n">
        <f aca="false">Codestufen!D50</f>
        <v>0</v>
      </c>
      <c r="C49" s="6" t="n">
        <f aca="false">COUNTIF(V_W_q6mdg_Zuord,A49)</f>
        <v>0</v>
      </c>
      <c r="D49" s="28" t="s">
        <v>52</v>
      </c>
      <c r="E49" s="28" t="n">
        <v>38</v>
      </c>
      <c r="F49" s="29" t="s">
        <v>54</v>
      </c>
      <c r="G49" s="30" t="n">
        <v>2</v>
      </c>
      <c r="H49" s="30"/>
      <c r="I49" s="30"/>
      <c r="J49" s="30"/>
      <c r="K49" s="30"/>
      <c r="L49" s="30"/>
      <c r="M49" s="30"/>
      <c r="N49" s="30"/>
      <c r="O49" s="30"/>
      <c r="P49" s="30"/>
      <c r="Q49" s="28" t="n">
        <f aca="false">IF(TRIM(F49)="",0,1)</f>
        <v>1</v>
      </c>
      <c r="R49" s="28" t="n">
        <f aca="false">COUNT(G49:P49)</f>
        <v>1</v>
      </c>
      <c r="S49" s="28" t="n">
        <f aca="false">IF(R49 &gt;= Q49,0,1)</f>
        <v>0</v>
      </c>
      <c r="T49" s="28" t="n">
        <f aca="false">IF(AND(R49 &gt; 0,Q49=0),1,0)</f>
        <v>0</v>
      </c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</row>
    <row r="50" customFormat="false" ht="11.25" hidden="false" customHeight="false" outlineLevel="0" collapsed="false">
      <c r="A50" s="6" t="n">
        <v>50</v>
      </c>
      <c r="B50" s="6" t="n">
        <f aca="false">Codestufen!D51</f>
        <v>0</v>
      </c>
      <c r="C50" s="6" t="n">
        <f aca="false">COUNTIF(V_W_q6mdg_Zuord,A50)</f>
        <v>0</v>
      </c>
      <c r="D50" s="28" t="s">
        <v>52</v>
      </c>
      <c r="E50" s="28" t="n">
        <v>45</v>
      </c>
      <c r="F50" s="29" t="s">
        <v>54</v>
      </c>
      <c r="G50" s="30" t="n">
        <v>2</v>
      </c>
      <c r="H50" s="30"/>
      <c r="I50" s="30"/>
      <c r="J50" s="30"/>
      <c r="K50" s="30"/>
      <c r="L50" s="30"/>
      <c r="M50" s="30"/>
      <c r="N50" s="30"/>
      <c r="O50" s="30"/>
      <c r="P50" s="30"/>
      <c r="Q50" s="28" t="n">
        <f aca="false">IF(TRIM(F50)="",0,1)</f>
        <v>1</v>
      </c>
      <c r="R50" s="28" t="n">
        <f aca="false">COUNT(G50:P50)</f>
        <v>1</v>
      </c>
      <c r="S50" s="28" t="n">
        <f aca="false">IF(R50 &gt;= Q50,0,1)</f>
        <v>0</v>
      </c>
      <c r="T50" s="28" t="n">
        <f aca="false">IF(AND(R50 &gt; 0,Q50=0),1,0)</f>
        <v>0</v>
      </c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</row>
    <row r="51" customFormat="false" ht="11.25" hidden="false" customHeight="false" outlineLevel="0" collapsed="false">
      <c r="A51" s="6" t="n">
        <v>51</v>
      </c>
      <c r="B51" s="6" t="n">
        <f aca="false">Codestufen!D52</f>
        <v>0</v>
      </c>
      <c r="C51" s="6" t="n">
        <f aca="false">COUNTIF(V_W_q6mdg_Zuord,A51)</f>
        <v>0</v>
      </c>
      <c r="D51" s="28" t="s">
        <v>52</v>
      </c>
      <c r="E51" s="28" t="n">
        <v>47</v>
      </c>
      <c r="F51" s="29" t="s">
        <v>54</v>
      </c>
      <c r="G51" s="30" t="n">
        <v>2</v>
      </c>
      <c r="H51" s="30"/>
      <c r="I51" s="30"/>
      <c r="J51" s="30"/>
      <c r="K51" s="30"/>
      <c r="L51" s="30"/>
      <c r="M51" s="30"/>
      <c r="N51" s="30"/>
      <c r="O51" s="30"/>
      <c r="P51" s="30"/>
      <c r="Q51" s="28" t="n">
        <f aca="false">IF(TRIM(F51)="",0,1)</f>
        <v>1</v>
      </c>
      <c r="R51" s="28" t="n">
        <f aca="false">COUNT(G51:P51)</f>
        <v>1</v>
      </c>
      <c r="S51" s="28" t="n">
        <f aca="false">IF(R51 &gt;= Q51,0,1)</f>
        <v>0</v>
      </c>
      <c r="T51" s="28" t="n">
        <f aca="false">IF(AND(R51 &gt; 0,Q51=0),1,0)</f>
        <v>0</v>
      </c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</row>
    <row r="52" customFormat="false" ht="11.25" hidden="false" customHeight="false" outlineLevel="0" collapsed="false">
      <c r="A52" s="6" t="n">
        <v>52</v>
      </c>
      <c r="B52" s="6" t="n">
        <f aca="false">Codestufen!D53</f>
        <v>0</v>
      </c>
      <c r="C52" s="6" t="n">
        <f aca="false">COUNTIF(V_W_q6mdg_Zuord,A52)</f>
        <v>0</v>
      </c>
      <c r="D52" s="28" t="s">
        <v>52</v>
      </c>
      <c r="E52" s="28" t="n">
        <v>55</v>
      </c>
      <c r="F52" s="29" t="s">
        <v>54</v>
      </c>
      <c r="G52" s="30" t="n">
        <v>2</v>
      </c>
      <c r="H52" s="30"/>
      <c r="I52" s="30"/>
      <c r="J52" s="30"/>
      <c r="K52" s="30"/>
      <c r="L52" s="30"/>
      <c r="M52" s="30"/>
      <c r="N52" s="30"/>
      <c r="O52" s="30"/>
      <c r="P52" s="30"/>
      <c r="Q52" s="28" t="n">
        <f aca="false">IF(TRIM(F52)="",0,1)</f>
        <v>1</v>
      </c>
      <c r="R52" s="28" t="n">
        <f aca="false">COUNT(G52:P52)</f>
        <v>1</v>
      </c>
      <c r="S52" s="28" t="n">
        <f aca="false">IF(R52 &gt;= Q52,0,1)</f>
        <v>0</v>
      </c>
      <c r="T52" s="28" t="n">
        <f aca="false">IF(AND(R52 &gt; 0,Q52=0),1,0)</f>
        <v>0</v>
      </c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</row>
    <row r="53" customFormat="false" ht="11.25" hidden="false" customHeight="false" outlineLevel="0" collapsed="false">
      <c r="A53" s="6" t="n">
        <v>53</v>
      </c>
      <c r="B53" s="6" t="n">
        <f aca="false">Codestufen!D54</f>
        <v>0</v>
      </c>
      <c r="C53" s="6" t="n">
        <f aca="false">COUNTIF(V_W_q6mdg_Zuord,A53)</f>
        <v>0</v>
      </c>
      <c r="D53" s="28" t="s">
        <v>52</v>
      </c>
      <c r="E53" s="28" t="n">
        <v>72</v>
      </c>
      <c r="F53" s="29" t="s">
        <v>54</v>
      </c>
      <c r="G53" s="30" t="n">
        <v>2</v>
      </c>
      <c r="H53" s="30"/>
      <c r="I53" s="30"/>
      <c r="J53" s="30"/>
      <c r="K53" s="30"/>
      <c r="L53" s="30"/>
      <c r="M53" s="30"/>
      <c r="N53" s="30"/>
      <c r="O53" s="30"/>
      <c r="P53" s="30"/>
      <c r="Q53" s="28" t="n">
        <f aca="false">IF(TRIM(F53)="",0,1)</f>
        <v>1</v>
      </c>
      <c r="R53" s="28" t="n">
        <f aca="false">COUNT(G53:P53)</f>
        <v>1</v>
      </c>
      <c r="S53" s="28" t="n">
        <f aca="false">IF(R53 &gt;= Q53,0,1)</f>
        <v>0</v>
      </c>
      <c r="T53" s="28" t="n">
        <f aca="false">IF(AND(R53 &gt; 0,Q53=0),1,0)</f>
        <v>0</v>
      </c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</row>
    <row r="54" customFormat="false" ht="11.25" hidden="false" customHeight="false" outlineLevel="0" collapsed="false">
      <c r="A54" s="6" t="n">
        <v>54</v>
      </c>
      <c r="B54" s="6" t="n">
        <f aca="false">Codestufen!D55</f>
        <v>0</v>
      </c>
      <c r="C54" s="6" t="n">
        <f aca="false">COUNTIF(V_W_q6mdg_Zuord,A54)</f>
        <v>0</v>
      </c>
      <c r="D54" s="28" t="s">
        <v>52</v>
      </c>
      <c r="E54" s="28" t="n">
        <v>78</v>
      </c>
      <c r="F54" s="29" t="s">
        <v>54</v>
      </c>
      <c r="G54" s="30" t="n">
        <v>2</v>
      </c>
      <c r="H54" s="30"/>
      <c r="I54" s="30"/>
      <c r="J54" s="30"/>
      <c r="K54" s="30"/>
      <c r="L54" s="30"/>
      <c r="M54" s="30"/>
      <c r="N54" s="30"/>
      <c r="O54" s="30"/>
      <c r="P54" s="30"/>
      <c r="Q54" s="28" t="n">
        <f aca="false">IF(TRIM(F54)="",0,1)</f>
        <v>1</v>
      </c>
      <c r="R54" s="28" t="n">
        <f aca="false">COUNT(G54:P54)</f>
        <v>1</v>
      </c>
      <c r="S54" s="28" t="n">
        <f aca="false">IF(R54 &gt;= Q54,0,1)</f>
        <v>0</v>
      </c>
      <c r="T54" s="28" t="n">
        <f aca="false">IF(AND(R54 &gt; 0,Q54=0),1,0)</f>
        <v>0</v>
      </c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</row>
    <row r="55" customFormat="false" ht="11.25" hidden="false" customHeight="false" outlineLevel="0" collapsed="false">
      <c r="A55" s="6" t="n">
        <v>55</v>
      </c>
      <c r="B55" s="6" t="n">
        <f aca="false">Codestufen!D56</f>
        <v>0</v>
      </c>
      <c r="C55" s="6" t="n">
        <f aca="false">COUNTIF(V_W_q6mdg_Zuord,A55)</f>
        <v>0</v>
      </c>
      <c r="D55" s="28" t="s">
        <v>52</v>
      </c>
      <c r="E55" s="28" t="n">
        <v>88</v>
      </c>
      <c r="F55" s="29" t="s">
        <v>54</v>
      </c>
      <c r="G55" s="30" t="n">
        <v>2</v>
      </c>
      <c r="H55" s="30"/>
      <c r="I55" s="30"/>
      <c r="J55" s="30"/>
      <c r="K55" s="30"/>
      <c r="L55" s="30"/>
      <c r="M55" s="30"/>
      <c r="N55" s="30"/>
      <c r="O55" s="30"/>
      <c r="P55" s="30"/>
      <c r="Q55" s="28" t="n">
        <f aca="false">IF(TRIM(F55)="",0,1)</f>
        <v>1</v>
      </c>
      <c r="R55" s="28" t="n">
        <f aca="false">COUNT(G55:P55)</f>
        <v>1</v>
      </c>
      <c r="S55" s="28" t="n">
        <f aca="false">IF(R55 &gt;= Q55,0,1)</f>
        <v>0</v>
      </c>
      <c r="T55" s="28" t="n">
        <f aca="false">IF(AND(R55 &gt; 0,Q55=0),1,0)</f>
        <v>0</v>
      </c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</row>
    <row r="56" customFormat="false" ht="11.25" hidden="false" customHeight="false" outlineLevel="0" collapsed="false">
      <c r="A56" s="6" t="n">
        <v>56</v>
      </c>
      <c r="B56" s="6" t="n">
        <f aca="false">Codestufen!D57</f>
        <v>0</v>
      </c>
      <c r="C56" s="6" t="n">
        <f aca="false">COUNTIF(V_W_q6mdg_Zuord,A56)</f>
        <v>0</v>
      </c>
      <c r="D56" s="28" t="s">
        <v>52</v>
      </c>
      <c r="E56" s="28" t="n">
        <v>89</v>
      </c>
      <c r="F56" s="29" t="s">
        <v>54</v>
      </c>
      <c r="G56" s="30" t="n">
        <v>2</v>
      </c>
      <c r="H56" s="30"/>
      <c r="I56" s="30"/>
      <c r="J56" s="30"/>
      <c r="K56" s="30"/>
      <c r="L56" s="30"/>
      <c r="M56" s="30"/>
      <c r="N56" s="30"/>
      <c r="O56" s="30"/>
      <c r="P56" s="30"/>
      <c r="Q56" s="28" t="n">
        <f aca="false">IF(TRIM(F56)="",0,1)</f>
        <v>1</v>
      </c>
      <c r="R56" s="28" t="n">
        <f aca="false">COUNT(G56:P56)</f>
        <v>1</v>
      </c>
      <c r="S56" s="28" t="n">
        <f aca="false">IF(R56 &gt;= Q56,0,1)</f>
        <v>0</v>
      </c>
      <c r="T56" s="28" t="n">
        <f aca="false">IF(AND(R56 &gt; 0,Q56=0),1,0)</f>
        <v>0</v>
      </c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</row>
    <row r="57" customFormat="false" ht="11.25" hidden="false" customHeight="false" outlineLevel="0" collapsed="false">
      <c r="A57" s="6" t="n">
        <v>57</v>
      </c>
      <c r="B57" s="6" t="n">
        <f aca="false">Codestufen!D58</f>
        <v>0</v>
      </c>
      <c r="C57" s="6" t="n">
        <f aca="false">COUNTIF(V_W_q6mdg_Zuord,A57)</f>
        <v>0</v>
      </c>
      <c r="D57" s="28" t="s">
        <v>52</v>
      </c>
      <c r="E57" s="28" t="n">
        <v>97</v>
      </c>
      <c r="F57" s="29" t="s">
        <v>54</v>
      </c>
      <c r="G57" s="30" t="n">
        <v>2</v>
      </c>
      <c r="H57" s="30"/>
      <c r="I57" s="30"/>
      <c r="J57" s="30"/>
      <c r="K57" s="30"/>
      <c r="L57" s="30"/>
      <c r="M57" s="30"/>
      <c r="N57" s="30"/>
      <c r="O57" s="30"/>
      <c r="P57" s="30"/>
      <c r="Q57" s="28" t="n">
        <f aca="false">IF(TRIM(F57)="",0,1)</f>
        <v>1</v>
      </c>
      <c r="R57" s="28" t="n">
        <f aca="false">COUNT(G57:P57)</f>
        <v>1</v>
      </c>
      <c r="S57" s="28" t="n">
        <f aca="false">IF(R57 &gt;= Q57,0,1)</f>
        <v>0</v>
      </c>
      <c r="T57" s="28" t="n">
        <f aca="false">IF(AND(R57 &gt; 0,Q57=0),1,0)</f>
        <v>0</v>
      </c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</row>
    <row r="58" customFormat="false" ht="11.25" hidden="false" customHeight="false" outlineLevel="0" collapsed="false">
      <c r="A58" s="6" t="n">
        <v>58</v>
      </c>
      <c r="B58" s="6" t="n">
        <f aca="false">Codestufen!D59</f>
        <v>0</v>
      </c>
      <c r="C58" s="6" t="n">
        <f aca="false">COUNTIF(V_W_q6mdg_Zuord,A58)</f>
        <v>0</v>
      </c>
      <c r="D58" s="28" t="s">
        <v>52</v>
      </c>
      <c r="E58" s="28" t="n">
        <v>5</v>
      </c>
      <c r="F58" s="29" t="s">
        <v>55</v>
      </c>
      <c r="G58" s="30" t="n">
        <v>3</v>
      </c>
      <c r="H58" s="30"/>
      <c r="I58" s="30"/>
      <c r="J58" s="30"/>
      <c r="K58" s="30"/>
      <c r="L58" s="30"/>
      <c r="M58" s="30"/>
      <c r="N58" s="30"/>
      <c r="O58" s="30"/>
      <c r="P58" s="30"/>
      <c r="Q58" s="28" t="n">
        <f aca="false">IF(TRIM(F58)="",0,1)</f>
        <v>1</v>
      </c>
      <c r="R58" s="28" t="n">
        <f aca="false">COUNT(G58:P58)</f>
        <v>1</v>
      </c>
      <c r="S58" s="28" t="n">
        <f aca="false">IF(R58 &gt;= Q58,0,1)</f>
        <v>0</v>
      </c>
      <c r="T58" s="28" t="n">
        <f aca="false">IF(AND(R58 &gt; 0,Q58=0),1,0)</f>
        <v>0</v>
      </c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</row>
    <row r="59" customFormat="false" ht="11.25" hidden="false" customHeight="false" outlineLevel="0" collapsed="false">
      <c r="A59" s="6" t="n">
        <v>59</v>
      </c>
      <c r="B59" s="6" t="n">
        <f aca="false">Codestufen!D60</f>
        <v>0</v>
      </c>
      <c r="C59" s="6" t="n">
        <f aca="false">COUNTIF(V_W_q6mdg_Zuord,A59)</f>
        <v>0</v>
      </c>
      <c r="D59" s="28" t="s">
        <v>52</v>
      </c>
      <c r="E59" s="28" t="n">
        <v>12</v>
      </c>
      <c r="F59" s="29" t="s">
        <v>55</v>
      </c>
      <c r="G59" s="30" t="n">
        <v>3</v>
      </c>
      <c r="H59" s="30"/>
      <c r="I59" s="30"/>
      <c r="J59" s="30"/>
      <c r="K59" s="30"/>
      <c r="L59" s="30"/>
      <c r="M59" s="30"/>
      <c r="N59" s="30"/>
      <c r="O59" s="30"/>
      <c r="P59" s="30"/>
      <c r="Q59" s="28" t="n">
        <f aca="false">IF(TRIM(F59)="",0,1)</f>
        <v>1</v>
      </c>
      <c r="R59" s="28" t="n">
        <f aca="false">COUNT(G59:P59)</f>
        <v>1</v>
      </c>
      <c r="S59" s="28" t="n">
        <f aca="false">IF(R59 &gt;= Q59,0,1)</f>
        <v>0</v>
      </c>
      <c r="T59" s="28" t="n">
        <f aca="false">IF(AND(R59 &gt; 0,Q59=0),1,0)</f>
        <v>0</v>
      </c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</row>
    <row r="60" customFormat="false" ht="11.25" hidden="false" customHeight="false" outlineLevel="0" collapsed="false">
      <c r="A60" s="6" t="n">
        <v>60</v>
      </c>
      <c r="B60" s="6" t="n">
        <f aca="false">Codestufen!D61</f>
        <v>0</v>
      </c>
      <c r="C60" s="6" t="n">
        <f aca="false">COUNTIF(V_W_q6mdg_Zuord,A60)</f>
        <v>0</v>
      </c>
      <c r="D60" s="28" t="s">
        <v>52</v>
      </c>
      <c r="E60" s="28" t="n">
        <v>14</v>
      </c>
      <c r="F60" s="29" t="s">
        <v>55</v>
      </c>
      <c r="G60" s="30" t="n">
        <v>3</v>
      </c>
      <c r="H60" s="30"/>
      <c r="I60" s="30"/>
      <c r="J60" s="30"/>
      <c r="K60" s="30"/>
      <c r="L60" s="30"/>
      <c r="M60" s="30"/>
      <c r="N60" s="30"/>
      <c r="O60" s="30"/>
      <c r="P60" s="30"/>
      <c r="Q60" s="28" t="n">
        <f aca="false">IF(TRIM(F60)="",0,1)</f>
        <v>1</v>
      </c>
      <c r="R60" s="28" t="n">
        <f aca="false">COUNT(G60:P60)</f>
        <v>1</v>
      </c>
      <c r="S60" s="28" t="n">
        <f aca="false">IF(R60 &gt;= Q60,0,1)</f>
        <v>0</v>
      </c>
      <c r="T60" s="28" t="n">
        <f aca="false">IF(AND(R60 &gt; 0,Q60=0),1,0)</f>
        <v>0</v>
      </c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</row>
    <row r="61" customFormat="false" ht="11.25" hidden="false" customHeight="false" outlineLevel="0" collapsed="false">
      <c r="A61" s="6" t="n">
        <v>61</v>
      </c>
      <c r="B61" s="6" t="n">
        <f aca="false">Codestufen!D62</f>
        <v>0</v>
      </c>
      <c r="C61" s="6" t="n">
        <f aca="false">COUNTIF(V_W_q6mdg_Zuord,A61)</f>
        <v>0</v>
      </c>
      <c r="D61" s="28" t="s">
        <v>52</v>
      </c>
      <c r="E61" s="28" t="n">
        <v>39</v>
      </c>
      <c r="F61" s="29" t="s">
        <v>55</v>
      </c>
      <c r="G61" s="30" t="n">
        <v>3</v>
      </c>
      <c r="H61" s="30"/>
      <c r="I61" s="30"/>
      <c r="J61" s="30"/>
      <c r="K61" s="30"/>
      <c r="L61" s="30"/>
      <c r="M61" s="30"/>
      <c r="N61" s="30"/>
      <c r="O61" s="30"/>
      <c r="P61" s="30"/>
      <c r="Q61" s="28" t="n">
        <f aca="false">IF(TRIM(F61)="",0,1)</f>
        <v>1</v>
      </c>
      <c r="R61" s="28" t="n">
        <f aca="false">COUNT(G61:P61)</f>
        <v>1</v>
      </c>
      <c r="S61" s="28" t="n">
        <f aca="false">IF(R61 &gt;= Q61,0,1)</f>
        <v>0</v>
      </c>
      <c r="T61" s="28" t="n">
        <f aca="false">IF(AND(R61 &gt; 0,Q61=0),1,0)</f>
        <v>0</v>
      </c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</row>
    <row r="62" customFormat="false" ht="11.25" hidden="false" customHeight="false" outlineLevel="0" collapsed="false">
      <c r="A62" s="6" t="n">
        <v>62</v>
      </c>
      <c r="B62" s="6" t="n">
        <f aca="false">Codestufen!D63</f>
        <v>0</v>
      </c>
      <c r="C62" s="6" t="n">
        <f aca="false">COUNTIF(V_W_q6mdg_Zuord,A62)</f>
        <v>0</v>
      </c>
      <c r="D62" s="28" t="s">
        <v>52</v>
      </c>
      <c r="E62" s="28" t="n">
        <v>49</v>
      </c>
      <c r="F62" s="29" t="s">
        <v>55</v>
      </c>
      <c r="G62" s="30" t="n">
        <v>3</v>
      </c>
      <c r="H62" s="30"/>
      <c r="I62" s="30"/>
      <c r="J62" s="30"/>
      <c r="K62" s="30"/>
      <c r="L62" s="30"/>
      <c r="M62" s="30"/>
      <c r="N62" s="30"/>
      <c r="O62" s="30"/>
      <c r="P62" s="30"/>
      <c r="Q62" s="28" t="n">
        <f aca="false">IF(TRIM(F62)="",0,1)</f>
        <v>1</v>
      </c>
      <c r="R62" s="28" t="n">
        <f aca="false">COUNT(G62:P62)</f>
        <v>1</v>
      </c>
      <c r="S62" s="28" t="n">
        <f aca="false">IF(R62 &gt;= Q62,0,1)</f>
        <v>0</v>
      </c>
      <c r="T62" s="28" t="n">
        <f aca="false">IF(AND(R62 &gt; 0,Q62=0),1,0)</f>
        <v>0</v>
      </c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</row>
    <row r="63" customFormat="false" ht="11.25" hidden="false" customHeight="false" outlineLevel="0" collapsed="false">
      <c r="A63" s="6" t="n">
        <v>63</v>
      </c>
      <c r="B63" s="6" t="n">
        <f aca="false">Codestufen!D64</f>
        <v>0</v>
      </c>
      <c r="C63" s="6" t="n">
        <f aca="false">COUNTIF(V_W_q6mdg_Zuord,A63)</f>
        <v>0</v>
      </c>
      <c r="D63" s="28" t="s">
        <v>52</v>
      </c>
      <c r="E63" s="28" t="n">
        <v>62</v>
      </c>
      <c r="F63" s="29" t="s">
        <v>55</v>
      </c>
      <c r="G63" s="30" t="n">
        <v>3</v>
      </c>
      <c r="H63" s="30"/>
      <c r="I63" s="30"/>
      <c r="J63" s="30"/>
      <c r="K63" s="30"/>
      <c r="L63" s="30"/>
      <c r="M63" s="30"/>
      <c r="N63" s="30"/>
      <c r="O63" s="30"/>
      <c r="P63" s="30"/>
      <c r="Q63" s="28" t="n">
        <f aca="false">IF(TRIM(F63)="",0,1)</f>
        <v>1</v>
      </c>
      <c r="R63" s="28" t="n">
        <f aca="false">COUNT(G63:P63)</f>
        <v>1</v>
      </c>
      <c r="S63" s="28" t="n">
        <f aca="false">IF(R63 &gt;= Q63,0,1)</f>
        <v>0</v>
      </c>
      <c r="T63" s="28" t="n">
        <f aca="false">IF(AND(R63 &gt; 0,Q63=0),1,0)</f>
        <v>0</v>
      </c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</row>
    <row r="64" customFormat="false" ht="11.25" hidden="false" customHeight="false" outlineLevel="0" collapsed="false">
      <c r="A64" s="6" t="n">
        <v>64</v>
      </c>
      <c r="B64" s="6" t="n">
        <f aca="false">Codestufen!D65</f>
        <v>0</v>
      </c>
      <c r="C64" s="6" t="n">
        <f aca="false">COUNTIF(V_W_q6mdg_Zuord,A64)</f>
        <v>0</v>
      </c>
      <c r="D64" s="28" t="s">
        <v>52</v>
      </c>
      <c r="E64" s="28" t="n">
        <v>79</v>
      </c>
      <c r="F64" s="29" t="s">
        <v>55</v>
      </c>
      <c r="G64" s="30" t="n">
        <v>3</v>
      </c>
      <c r="H64" s="30"/>
      <c r="I64" s="30"/>
      <c r="J64" s="30"/>
      <c r="K64" s="30"/>
      <c r="L64" s="30"/>
      <c r="M64" s="30"/>
      <c r="N64" s="30"/>
      <c r="O64" s="30"/>
      <c r="P64" s="30"/>
      <c r="Q64" s="28" t="n">
        <f aca="false">IF(TRIM(F64)="",0,1)</f>
        <v>1</v>
      </c>
      <c r="R64" s="28" t="n">
        <f aca="false">COUNT(G64:P64)</f>
        <v>1</v>
      </c>
      <c r="S64" s="28" t="n">
        <f aca="false">IF(R64 &gt;= Q64,0,1)</f>
        <v>0</v>
      </c>
      <c r="T64" s="28" t="n">
        <f aca="false">IF(AND(R64 &gt; 0,Q64=0),1,0)</f>
        <v>0</v>
      </c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</row>
    <row r="65" customFormat="false" ht="11.25" hidden="false" customHeight="false" outlineLevel="0" collapsed="false">
      <c r="A65" s="6" t="n">
        <v>65</v>
      </c>
      <c r="B65" s="6" t="n">
        <f aca="false">Codestufen!D66</f>
        <v>0</v>
      </c>
      <c r="C65" s="6" t="n">
        <f aca="false">COUNTIF(V_W_q6mdg_Zuord,A65)</f>
        <v>0</v>
      </c>
      <c r="D65" s="28" t="s">
        <v>52</v>
      </c>
      <c r="E65" s="28" t="n">
        <v>98</v>
      </c>
      <c r="F65" s="29" t="s">
        <v>55</v>
      </c>
      <c r="G65" s="30" t="n">
        <v>3</v>
      </c>
      <c r="H65" s="30"/>
      <c r="I65" s="30"/>
      <c r="J65" s="30"/>
      <c r="K65" s="30"/>
      <c r="L65" s="30"/>
      <c r="M65" s="30"/>
      <c r="N65" s="30"/>
      <c r="O65" s="30"/>
      <c r="P65" s="30"/>
      <c r="Q65" s="28" t="n">
        <f aca="false">IF(TRIM(F65)="",0,1)</f>
        <v>1</v>
      </c>
      <c r="R65" s="28" t="n">
        <f aca="false">COUNT(G65:P65)</f>
        <v>1</v>
      </c>
      <c r="S65" s="28" t="n">
        <f aca="false">IF(R65 &gt;= Q65,0,1)</f>
        <v>0</v>
      </c>
      <c r="T65" s="28" t="n">
        <f aca="false">IF(AND(R65 &gt; 0,Q65=0),1,0)</f>
        <v>0</v>
      </c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</row>
    <row r="66" customFormat="false" ht="11.25" hidden="false" customHeight="false" outlineLevel="0" collapsed="false">
      <c r="A66" s="6" t="n">
        <v>66</v>
      </c>
      <c r="B66" s="6" t="n">
        <f aca="false">Codestufen!D67</f>
        <v>0</v>
      </c>
      <c r="C66" s="6" t="n">
        <f aca="false">COUNTIF(V_W_q6mdg_Zuord,A66)</f>
        <v>0</v>
      </c>
      <c r="D66" s="28" t="s">
        <v>52</v>
      </c>
      <c r="E66" s="28" t="n">
        <v>8</v>
      </c>
      <c r="F66" s="29" t="s">
        <v>56</v>
      </c>
      <c r="G66" s="30" t="n">
        <v>1</v>
      </c>
      <c r="H66" s="30"/>
      <c r="I66" s="30"/>
      <c r="J66" s="30"/>
      <c r="K66" s="30"/>
      <c r="L66" s="30"/>
      <c r="M66" s="30"/>
      <c r="N66" s="30"/>
      <c r="O66" s="30"/>
      <c r="P66" s="30"/>
      <c r="Q66" s="28" t="n">
        <f aca="false">IF(TRIM(F66)="",0,1)</f>
        <v>1</v>
      </c>
      <c r="R66" s="28" t="n">
        <f aca="false">COUNT(G66:P66)</f>
        <v>1</v>
      </c>
      <c r="S66" s="28" t="n">
        <f aca="false">IF(R66 &gt;= Q66,0,1)</f>
        <v>0</v>
      </c>
      <c r="T66" s="28" t="n">
        <f aca="false">IF(AND(R66 &gt; 0,Q66=0),1,0)</f>
        <v>0</v>
      </c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</row>
    <row r="67" customFormat="false" ht="11.25" hidden="false" customHeight="false" outlineLevel="0" collapsed="false">
      <c r="A67" s="6" t="n">
        <v>67</v>
      </c>
      <c r="B67" s="6" t="n">
        <f aca="false">Codestufen!D68</f>
        <v>0</v>
      </c>
      <c r="C67" s="6" t="n">
        <f aca="false">COUNTIF(V_W_q6mdg_Zuord,A67)</f>
        <v>0</v>
      </c>
      <c r="D67" s="28" t="s">
        <v>52</v>
      </c>
      <c r="E67" s="28" t="n">
        <v>9</v>
      </c>
      <c r="F67" s="29" t="s">
        <v>56</v>
      </c>
      <c r="G67" s="30" t="n">
        <v>1</v>
      </c>
      <c r="H67" s="30"/>
      <c r="I67" s="30"/>
      <c r="J67" s="30"/>
      <c r="K67" s="30"/>
      <c r="L67" s="30"/>
      <c r="M67" s="30"/>
      <c r="N67" s="30"/>
      <c r="O67" s="30"/>
      <c r="P67" s="30"/>
      <c r="Q67" s="28" t="n">
        <f aca="false">IF(TRIM(F67)="",0,1)</f>
        <v>1</v>
      </c>
      <c r="R67" s="28" t="n">
        <f aca="false">COUNT(G67:P67)</f>
        <v>1</v>
      </c>
      <c r="S67" s="28" t="n">
        <f aca="false">IF(R67 &gt;= Q67,0,1)</f>
        <v>0</v>
      </c>
      <c r="T67" s="28" t="n">
        <f aca="false">IF(AND(R67 &gt; 0,Q67=0),1,0)</f>
        <v>0</v>
      </c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</row>
    <row r="68" customFormat="false" ht="11.25" hidden="false" customHeight="false" outlineLevel="0" collapsed="false">
      <c r="A68" s="6" t="n">
        <v>68</v>
      </c>
      <c r="B68" s="6" t="n">
        <f aca="false">Codestufen!D69</f>
        <v>0</v>
      </c>
      <c r="C68" s="6" t="n">
        <f aca="false">COUNTIF(V_W_q6mdg_Zuord,A68)</f>
        <v>0</v>
      </c>
      <c r="D68" s="28" t="s">
        <v>52</v>
      </c>
      <c r="E68" s="28" t="n">
        <v>24</v>
      </c>
      <c r="F68" s="29" t="s">
        <v>56</v>
      </c>
      <c r="G68" s="30" t="n">
        <v>1</v>
      </c>
      <c r="H68" s="30"/>
      <c r="I68" s="30"/>
      <c r="J68" s="30"/>
      <c r="K68" s="30"/>
      <c r="L68" s="30"/>
      <c r="M68" s="30"/>
      <c r="N68" s="30"/>
      <c r="O68" s="30"/>
      <c r="P68" s="30"/>
      <c r="Q68" s="28" t="n">
        <f aca="false">IF(TRIM(F68)="",0,1)</f>
        <v>1</v>
      </c>
      <c r="R68" s="28" t="n">
        <f aca="false">COUNT(G68:P68)</f>
        <v>1</v>
      </c>
      <c r="S68" s="28" t="n">
        <f aca="false">IF(R68 &gt;= Q68,0,1)</f>
        <v>0</v>
      </c>
      <c r="T68" s="28" t="n">
        <f aca="false">IF(AND(R68 &gt; 0,Q68=0),1,0)</f>
        <v>0</v>
      </c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</row>
    <row r="69" customFormat="false" ht="11.25" hidden="false" customHeight="false" outlineLevel="0" collapsed="false">
      <c r="A69" s="6" t="n">
        <v>69</v>
      </c>
      <c r="B69" s="6" t="n">
        <f aca="false">Codestufen!D70</f>
        <v>0</v>
      </c>
      <c r="C69" s="6" t="n">
        <f aca="false">COUNTIF(V_W_q6mdg_Zuord,A69)</f>
        <v>0</v>
      </c>
      <c r="D69" s="28" t="s">
        <v>52</v>
      </c>
      <c r="E69" s="28" t="n">
        <v>30</v>
      </c>
      <c r="F69" s="29" t="s">
        <v>56</v>
      </c>
      <c r="G69" s="30" t="n">
        <v>1</v>
      </c>
      <c r="H69" s="30"/>
      <c r="I69" s="30"/>
      <c r="J69" s="30"/>
      <c r="K69" s="30"/>
      <c r="L69" s="30"/>
      <c r="M69" s="30"/>
      <c r="N69" s="30"/>
      <c r="O69" s="30"/>
      <c r="P69" s="30"/>
      <c r="Q69" s="28" t="n">
        <f aca="false">IF(TRIM(F69)="",0,1)</f>
        <v>1</v>
      </c>
      <c r="R69" s="28" t="n">
        <f aca="false">COUNT(G69:P69)</f>
        <v>1</v>
      </c>
      <c r="S69" s="28" t="n">
        <f aca="false">IF(R69 &gt;= Q69,0,1)</f>
        <v>0</v>
      </c>
      <c r="T69" s="28" t="n">
        <f aca="false">IF(AND(R69 &gt; 0,Q69=0),1,0)</f>
        <v>0</v>
      </c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</row>
    <row r="70" customFormat="false" ht="11.25" hidden="false" customHeight="false" outlineLevel="0" collapsed="false">
      <c r="A70" s="6" t="n">
        <v>70</v>
      </c>
      <c r="B70" s="6" t="n">
        <f aca="false">Codestufen!D71</f>
        <v>0</v>
      </c>
      <c r="C70" s="6" t="n">
        <f aca="false">COUNTIF(V_W_q6mdg_Zuord,A70)</f>
        <v>0</v>
      </c>
      <c r="D70" s="28" t="s">
        <v>52</v>
      </c>
      <c r="E70" s="28" t="n">
        <v>32</v>
      </c>
      <c r="F70" s="29" t="s">
        <v>56</v>
      </c>
      <c r="G70" s="30" t="n">
        <v>1</v>
      </c>
      <c r="H70" s="30"/>
      <c r="I70" s="30"/>
      <c r="J70" s="30"/>
      <c r="K70" s="30"/>
      <c r="L70" s="30"/>
      <c r="M70" s="30"/>
      <c r="N70" s="30"/>
      <c r="O70" s="30"/>
      <c r="P70" s="30"/>
      <c r="Q70" s="28" t="n">
        <f aca="false">IF(TRIM(F70)="",0,1)</f>
        <v>1</v>
      </c>
      <c r="R70" s="28" t="n">
        <f aca="false">COUNT(G70:P70)</f>
        <v>1</v>
      </c>
      <c r="S70" s="28" t="n">
        <f aca="false">IF(R70 &gt;= Q70,0,1)</f>
        <v>0</v>
      </c>
      <c r="T70" s="28" t="n">
        <f aca="false">IF(AND(R70 &gt; 0,Q70=0),1,0)</f>
        <v>0</v>
      </c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</row>
    <row r="71" customFormat="false" ht="11.25" hidden="false" customHeight="false" outlineLevel="0" collapsed="false">
      <c r="A71" s="6" t="n">
        <v>71</v>
      </c>
      <c r="B71" s="6" t="n">
        <f aca="false">Codestufen!D72</f>
        <v>0</v>
      </c>
      <c r="C71" s="6" t="n">
        <f aca="false">COUNTIF(V_W_q6mdg_Zuord,A71)</f>
        <v>0</v>
      </c>
      <c r="D71" s="28" t="s">
        <v>52</v>
      </c>
      <c r="E71" s="28" t="n">
        <v>36</v>
      </c>
      <c r="F71" s="29" t="s">
        <v>56</v>
      </c>
      <c r="G71" s="30" t="n">
        <v>1</v>
      </c>
      <c r="H71" s="30"/>
      <c r="I71" s="30"/>
      <c r="J71" s="30"/>
      <c r="K71" s="30"/>
      <c r="L71" s="30"/>
      <c r="M71" s="30"/>
      <c r="N71" s="30"/>
      <c r="O71" s="30"/>
      <c r="P71" s="30"/>
      <c r="Q71" s="28" t="n">
        <f aca="false">IF(TRIM(F71)="",0,1)</f>
        <v>1</v>
      </c>
      <c r="R71" s="28" t="n">
        <f aca="false">COUNT(G71:P71)</f>
        <v>1</v>
      </c>
      <c r="S71" s="28" t="n">
        <f aca="false">IF(R71 &gt;= Q71,0,1)</f>
        <v>0</v>
      </c>
      <c r="T71" s="28" t="n">
        <f aca="false">IF(AND(R71 &gt; 0,Q71=0),1,0)</f>
        <v>0</v>
      </c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</row>
    <row r="72" customFormat="false" ht="11.25" hidden="false" customHeight="false" outlineLevel="0" collapsed="false">
      <c r="A72" s="6" t="n">
        <v>72</v>
      </c>
      <c r="B72" s="6" t="n">
        <f aca="false">Codestufen!D73</f>
        <v>0</v>
      </c>
      <c r="C72" s="6" t="n">
        <f aca="false">COUNTIF(V_W_q6mdg_Zuord,A72)</f>
        <v>0</v>
      </c>
      <c r="D72" s="28" t="s">
        <v>52</v>
      </c>
      <c r="E72" s="28" t="n">
        <v>53</v>
      </c>
      <c r="F72" s="29" t="s">
        <v>56</v>
      </c>
      <c r="G72" s="30" t="n">
        <v>1</v>
      </c>
      <c r="H72" s="30"/>
      <c r="I72" s="30"/>
      <c r="J72" s="30"/>
      <c r="K72" s="30"/>
      <c r="L72" s="30"/>
      <c r="M72" s="30"/>
      <c r="N72" s="30"/>
      <c r="O72" s="30"/>
      <c r="P72" s="30"/>
      <c r="Q72" s="28" t="n">
        <f aca="false">IF(TRIM(F72)="",0,1)</f>
        <v>1</v>
      </c>
      <c r="R72" s="28" t="n">
        <f aca="false">COUNT(G72:P72)</f>
        <v>1</v>
      </c>
      <c r="S72" s="28" t="n">
        <f aca="false">IF(R72 &gt;= Q72,0,1)</f>
        <v>0</v>
      </c>
      <c r="T72" s="28" t="n">
        <f aca="false">IF(AND(R72 &gt; 0,Q72=0),1,0)</f>
        <v>0</v>
      </c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</row>
    <row r="73" customFormat="false" ht="11.25" hidden="false" customHeight="false" outlineLevel="0" collapsed="false">
      <c r="A73" s="6" t="n">
        <v>73</v>
      </c>
      <c r="B73" s="6" t="n">
        <f aca="false">Codestufen!D74</f>
        <v>0</v>
      </c>
      <c r="C73" s="6" t="n">
        <f aca="false">COUNTIF(V_W_q6mdg_Zuord,A73)</f>
        <v>0</v>
      </c>
      <c r="D73" s="28" t="s">
        <v>52</v>
      </c>
      <c r="E73" s="28" t="n">
        <v>61</v>
      </c>
      <c r="F73" s="29" t="s">
        <v>56</v>
      </c>
      <c r="G73" s="30" t="n">
        <v>1</v>
      </c>
      <c r="H73" s="30"/>
      <c r="I73" s="30"/>
      <c r="J73" s="30"/>
      <c r="K73" s="30"/>
      <c r="L73" s="30"/>
      <c r="M73" s="30"/>
      <c r="N73" s="30"/>
      <c r="O73" s="30"/>
      <c r="P73" s="30"/>
      <c r="Q73" s="28" t="n">
        <f aca="false">IF(TRIM(F73)="",0,1)</f>
        <v>1</v>
      </c>
      <c r="R73" s="28" t="n">
        <f aca="false">COUNT(G73:P73)</f>
        <v>1</v>
      </c>
      <c r="S73" s="28" t="n">
        <f aca="false">IF(R73 &gt;= Q73,0,1)</f>
        <v>0</v>
      </c>
      <c r="T73" s="28" t="n">
        <f aca="false">IF(AND(R73 &gt; 0,Q73=0),1,0)</f>
        <v>0</v>
      </c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</row>
    <row r="74" customFormat="false" ht="11.25" hidden="false" customHeight="false" outlineLevel="0" collapsed="false">
      <c r="A74" s="6" t="n">
        <v>74</v>
      </c>
      <c r="B74" s="6" t="n">
        <f aca="false">Codestufen!D75</f>
        <v>0</v>
      </c>
      <c r="C74" s="6" t="n">
        <f aca="false">COUNTIF(V_W_q6mdg_Zuord,A74)</f>
        <v>0</v>
      </c>
      <c r="D74" s="28" t="s">
        <v>52</v>
      </c>
      <c r="E74" s="28" t="n">
        <v>70</v>
      </c>
      <c r="F74" s="29" t="s">
        <v>56</v>
      </c>
      <c r="G74" s="30" t="n">
        <v>1</v>
      </c>
      <c r="H74" s="30"/>
      <c r="I74" s="30"/>
      <c r="J74" s="30"/>
      <c r="K74" s="30"/>
      <c r="L74" s="30"/>
      <c r="M74" s="30"/>
      <c r="N74" s="30"/>
      <c r="O74" s="30"/>
      <c r="P74" s="30"/>
      <c r="Q74" s="28" t="n">
        <f aca="false">IF(TRIM(F74)="",0,1)</f>
        <v>1</v>
      </c>
      <c r="R74" s="28" t="n">
        <f aca="false">COUNT(G74:P74)</f>
        <v>1</v>
      </c>
      <c r="S74" s="28" t="n">
        <f aca="false">IF(R74 &gt;= Q74,0,1)</f>
        <v>0</v>
      </c>
      <c r="T74" s="28" t="n">
        <f aca="false">IF(AND(R74 &gt; 0,Q74=0),1,0)</f>
        <v>0</v>
      </c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</row>
    <row r="75" customFormat="false" ht="11.25" hidden="false" customHeight="false" outlineLevel="0" collapsed="false">
      <c r="A75" s="6" t="n">
        <v>75</v>
      </c>
      <c r="B75" s="6" t="n">
        <f aca="false">Codestufen!D76</f>
        <v>0</v>
      </c>
      <c r="C75" s="6" t="n">
        <f aca="false">COUNTIF(V_W_q6mdg_Zuord,A75)</f>
        <v>0</v>
      </c>
      <c r="D75" s="28" t="s">
        <v>52</v>
      </c>
      <c r="E75" s="28" t="n">
        <v>4</v>
      </c>
      <c r="F75" s="29" t="s">
        <v>57</v>
      </c>
      <c r="G75" s="30" t="n">
        <v>2</v>
      </c>
      <c r="H75" s="30"/>
      <c r="I75" s="30"/>
      <c r="J75" s="30"/>
      <c r="K75" s="30"/>
      <c r="L75" s="30"/>
      <c r="M75" s="30"/>
      <c r="N75" s="30"/>
      <c r="O75" s="30"/>
      <c r="P75" s="30"/>
      <c r="Q75" s="28" t="n">
        <f aca="false">IF(TRIM(F75)="",0,1)</f>
        <v>1</v>
      </c>
      <c r="R75" s="28" t="n">
        <f aca="false">COUNT(G75:P75)</f>
        <v>1</v>
      </c>
      <c r="S75" s="28" t="n">
        <f aca="false">IF(R75 &gt;= Q75,0,1)</f>
        <v>0</v>
      </c>
      <c r="T75" s="28" t="n">
        <f aca="false">IF(AND(R75 &gt; 0,Q75=0),1,0)</f>
        <v>0</v>
      </c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</row>
    <row r="76" customFormat="false" ht="11.25" hidden="false" customHeight="false" outlineLevel="0" collapsed="false">
      <c r="A76" s="6" t="n">
        <v>76</v>
      </c>
      <c r="B76" s="6" t="n">
        <f aca="false">Codestufen!D77</f>
        <v>0</v>
      </c>
      <c r="C76" s="6" t="n">
        <f aca="false">COUNTIF(V_W_q6mdg_Zuord,A76)</f>
        <v>0</v>
      </c>
      <c r="D76" s="28" t="s">
        <v>52</v>
      </c>
      <c r="E76" s="28" t="n">
        <v>6</v>
      </c>
      <c r="F76" s="29" t="s">
        <v>57</v>
      </c>
      <c r="G76" s="30" t="n">
        <v>2</v>
      </c>
      <c r="H76" s="30"/>
      <c r="I76" s="30"/>
      <c r="J76" s="30"/>
      <c r="K76" s="30"/>
      <c r="L76" s="30"/>
      <c r="M76" s="30"/>
      <c r="N76" s="30"/>
      <c r="O76" s="30"/>
      <c r="P76" s="30"/>
      <c r="Q76" s="28" t="n">
        <f aca="false">IF(TRIM(F76)="",0,1)</f>
        <v>1</v>
      </c>
      <c r="R76" s="28" t="n">
        <f aca="false">COUNT(G76:P76)</f>
        <v>1</v>
      </c>
      <c r="S76" s="28" t="n">
        <f aca="false">IF(R76 &gt;= Q76,0,1)</f>
        <v>0</v>
      </c>
      <c r="T76" s="28" t="n">
        <f aca="false">IF(AND(R76 &gt; 0,Q76=0),1,0)</f>
        <v>0</v>
      </c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</row>
    <row r="77" customFormat="false" ht="11.25" hidden="false" customHeight="false" outlineLevel="0" collapsed="false">
      <c r="A77" s="6" t="n">
        <v>77</v>
      </c>
      <c r="B77" s="6" t="n">
        <f aca="false">Codestufen!D78</f>
        <v>0</v>
      </c>
      <c r="C77" s="6" t="n">
        <f aca="false">COUNTIF(V_W_q6mdg_Zuord,A77)</f>
        <v>0</v>
      </c>
      <c r="D77" s="28" t="s">
        <v>52</v>
      </c>
      <c r="E77" s="28" t="n">
        <v>19</v>
      </c>
      <c r="F77" s="29" t="s">
        <v>57</v>
      </c>
      <c r="G77" s="30" t="n">
        <v>2</v>
      </c>
      <c r="H77" s="30"/>
      <c r="I77" s="30"/>
      <c r="J77" s="30"/>
      <c r="K77" s="30"/>
      <c r="L77" s="30"/>
      <c r="M77" s="30"/>
      <c r="N77" s="30"/>
      <c r="O77" s="30"/>
      <c r="P77" s="30"/>
      <c r="Q77" s="28" t="n">
        <f aca="false">IF(TRIM(F77)="",0,1)</f>
        <v>1</v>
      </c>
      <c r="R77" s="28" t="n">
        <f aca="false">COUNT(G77:P77)</f>
        <v>1</v>
      </c>
      <c r="S77" s="28" t="n">
        <f aca="false">IF(R77 &gt;= Q77,0,1)</f>
        <v>0</v>
      </c>
      <c r="T77" s="28" t="n">
        <f aca="false">IF(AND(R77 &gt; 0,Q77=0),1,0)</f>
        <v>0</v>
      </c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</row>
    <row r="78" customFormat="false" ht="11.25" hidden="false" customHeight="false" outlineLevel="0" collapsed="false">
      <c r="A78" s="6" t="n">
        <v>78</v>
      </c>
      <c r="B78" s="6" t="n">
        <f aca="false">Codestufen!D79</f>
        <v>0</v>
      </c>
      <c r="C78" s="6" t="n">
        <f aca="false">COUNTIF(V_W_q6mdg_Zuord,A78)</f>
        <v>0</v>
      </c>
      <c r="D78" s="28" t="s">
        <v>52</v>
      </c>
      <c r="E78" s="28" t="n">
        <v>25</v>
      </c>
      <c r="F78" s="29" t="s">
        <v>57</v>
      </c>
      <c r="G78" s="30" t="n">
        <v>2</v>
      </c>
      <c r="H78" s="30"/>
      <c r="I78" s="30"/>
      <c r="J78" s="30"/>
      <c r="K78" s="30"/>
      <c r="L78" s="30"/>
      <c r="M78" s="30"/>
      <c r="N78" s="30"/>
      <c r="O78" s="30"/>
      <c r="P78" s="30"/>
      <c r="Q78" s="28" t="n">
        <f aca="false">IF(TRIM(F78)="",0,1)</f>
        <v>1</v>
      </c>
      <c r="R78" s="28" t="n">
        <f aca="false">COUNT(G78:P78)</f>
        <v>1</v>
      </c>
      <c r="S78" s="28" t="n">
        <f aca="false">IF(R78 &gt;= Q78,0,1)</f>
        <v>0</v>
      </c>
      <c r="T78" s="28" t="n">
        <f aca="false">IF(AND(R78 &gt; 0,Q78=0),1,0)</f>
        <v>0</v>
      </c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</row>
    <row r="79" customFormat="false" ht="11.25" hidden="false" customHeight="false" outlineLevel="0" collapsed="false">
      <c r="A79" s="6" t="n">
        <v>79</v>
      </c>
      <c r="B79" s="6" t="n">
        <f aca="false">Codestufen!D80</f>
        <v>0</v>
      </c>
      <c r="C79" s="6" t="n">
        <f aca="false">COUNTIF(V_W_q6mdg_Zuord,A79)</f>
        <v>0</v>
      </c>
      <c r="D79" s="28" t="s">
        <v>52</v>
      </c>
      <c r="E79" s="28" t="n">
        <v>28</v>
      </c>
      <c r="F79" s="29" t="s">
        <v>57</v>
      </c>
      <c r="G79" s="30" t="n">
        <v>2</v>
      </c>
      <c r="H79" s="30"/>
      <c r="I79" s="30"/>
      <c r="J79" s="30"/>
      <c r="K79" s="30"/>
      <c r="L79" s="30"/>
      <c r="M79" s="30"/>
      <c r="N79" s="30"/>
      <c r="O79" s="30"/>
      <c r="P79" s="30"/>
      <c r="Q79" s="28" t="n">
        <f aca="false">IF(TRIM(F79)="",0,1)</f>
        <v>1</v>
      </c>
      <c r="R79" s="28" t="n">
        <f aca="false">COUNT(G79:P79)</f>
        <v>1</v>
      </c>
      <c r="S79" s="28" t="n">
        <f aca="false">IF(R79 &gt;= Q79,0,1)</f>
        <v>0</v>
      </c>
      <c r="T79" s="28" t="n">
        <f aca="false">IF(AND(R79 &gt; 0,Q79=0),1,0)</f>
        <v>0</v>
      </c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</row>
    <row r="80" customFormat="false" ht="11.25" hidden="false" customHeight="false" outlineLevel="0" collapsed="false">
      <c r="A80" s="6" t="n">
        <v>80</v>
      </c>
      <c r="B80" s="6" t="n">
        <f aca="false">Codestufen!D81</f>
        <v>0</v>
      </c>
      <c r="C80" s="6" t="n">
        <f aca="false">COUNTIF(V_W_q6mdg_Zuord,A80)</f>
        <v>0</v>
      </c>
      <c r="D80" s="28" t="s">
        <v>52</v>
      </c>
      <c r="E80" s="28" t="n">
        <v>34</v>
      </c>
      <c r="F80" s="29" t="s">
        <v>57</v>
      </c>
      <c r="G80" s="30" t="n">
        <v>2</v>
      </c>
      <c r="H80" s="30"/>
      <c r="I80" s="30"/>
      <c r="J80" s="30"/>
      <c r="K80" s="30"/>
      <c r="L80" s="30"/>
      <c r="M80" s="30"/>
      <c r="N80" s="30"/>
      <c r="O80" s="30"/>
      <c r="P80" s="30"/>
      <c r="Q80" s="28" t="n">
        <f aca="false">IF(TRIM(F80)="",0,1)</f>
        <v>1</v>
      </c>
      <c r="R80" s="28" t="n">
        <f aca="false">COUNT(G80:P80)</f>
        <v>1</v>
      </c>
      <c r="S80" s="28" t="n">
        <f aca="false">IF(R80 &gt;= Q80,0,1)</f>
        <v>0</v>
      </c>
      <c r="T80" s="28" t="n">
        <f aca="false">IF(AND(R80 &gt; 0,Q80=0),1,0)</f>
        <v>0</v>
      </c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</row>
    <row r="81" customFormat="false" ht="11.25" hidden="false" customHeight="false" outlineLevel="0" collapsed="false">
      <c r="A81" s="6" t="n">
        <v>81</v>
      </c>
      <c r="B81" s="6" t="n">
        <f aca="false">Codestufen!D82</f>
        <v>0</v>
      </c>
      <c r="C81" s="6" t="n">
        <f aca="false">COUNTIF(V_W_q6mdg_Zuord,A81)</f>
        <v>0</v>
      </c>
      <c r="D81" s="28" t="s">
        <v>52</v>
      </c>
      <c r="E81" s="28" t="n">
        <v>44</v>
      </c>
      <c r="F81" s="29" t="s">
        <v>57</v>
      </c>
      <c r="G81" s="30" t="n">
        <v>2</v>
      </c>
      <c r="H81" s="30"/>
      <c r="I81" s="30"/>
      <c r="J81" s="30"/>
      <c r="K81" s="30"/>
      <c r="L81" s="30"/>
      <c r="M81" s="30"/>
      <c r="N81" s="30"/>
      <c r="O81" s="30"/>
      <c r="P81" s="30"/>
      <c r="Q81" s="28" t="n">
        <f aca="false">IF(TRIM(F81)="",0,1)</f>
        <v>1</v>
      </c>
      <c r="R81" s="28" t="n">
        <f aca="false">COUNT(G81:P81)</f>
        <v>1</v>
      </c>
      <c r="S81" s="28" t="n">
        <f aca="false">IF(R81 &gt;= Q81,0,1)</f>
        <v>0</v>
      </c>
      <c r="T81" s="28" t="n">
        <f aca="false">IF(AND(R81 &gt; 0,Q81=0),1,0)</f>
        <v>0</v>
      </c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</row>
    <row r="82" customFormat="false" ht="11.25" hidden="false" customHeight="false" outlineLevel="0" collapsed="false">
      <c r="A82" s="6" t="n">
        <v>82</v>
      </c>
      <c r="B82" s="6" t="n">
        <f aca="false">Codestufen!D83</f>
        <v>0</v>
      </c>
      <c r="C82" s="6" t="n">
        <f aca="false">COUNTIF(V_W_q6mdg_Zuord,A82)</f>
        <v>0</v>
      </c>
      <c r="D82" s="28" t="s">
        <v>52</v>
      </c>
      <c r="E82" s="28" t="n">
        <v>52</v>
      </c>
      <c r="F82" s="29" t="s">
        <v>57</v>
      </c>
      <c r="G82" s="30" t="n">
        <v>2</v>
      </c>
      <c r="H82" s="30"/>
      <c r="I82" s="30"/>
      <c r="J82" s="30"/>
      <c r="K82" s="30"/>
      <c r="L82" s="30"/>
      <c r="M82" s="30"/>
      <c r="N82" s="30"/>
      <c r="O82" s="30"/>
      <c r="P82" s="30"/>
      <c r="Q82" s="28" t="n">
        <f aca="false">IF(TRIM(F82)="",0,1)</f>
        <v>1</v>
      </c>
      <c r="R82" s="28" t="n">
        <f aca="false">COUNT(G82:P82)</f>
        <v>1</v>
      </c>
      <c r="S82" s="28" t="n">
        <f aca="false">IF(R82 &gt;= Q82,0,1)</f>
        <v>0</v>
      </c>
      <c r="T82" s="28" t="n">
        <f aca="false">IF(AND(R82 &gt; 0,Q82=0),1,0)</f>
        <v>0</v>
      </c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</row>
    <row r="83" customFormat="false" ht="11.25" hidden="false" customHeight="false" outlineLevel="0" collapsed="false">
      <c r="A83" s="6" t="n">
        <v>83</v>
      </c>
      <c r="B83" s="6" t="n">
        <f aca="false">Codestufen!D84</f>
        <v>0</v>
      </c>
      <c r="C83" s="6" t="n">
        <f aca="false">COUNTIF(V_W_q6mdg_Zuord,A83)</f>
        <v>0</v>
      </c>
      <c r="D83" s="28" t="s">
        <v>52</v>
      </c>
      <c r="E83" s="28" t="n">
        <v>54</v>
      </c>
      <c r="F83" s="29" t="s">
        <v>57</v>
      </c>
      <c r="G83" s="30" t="n">
        <v>2</v>
      </c>
      <c r="H83" s="30"/>
      <c r="I83" s="30"/>
      <c r="J83" s="30"/>
      <c r="K83" s="30"/>
      <c r="L83" s="30"/>
      <c r="M83" s="30"/>
      <c r="N83" s="30"/>
      <c r="O83" s="30"/>
      <c r="P83" s="30"/>
      <c r="Q83" s="28" t="n">
        <f aca="false">IF(TRIM(F83)="",0,1)</f>
        <v>1</v>
      </c>
      <c r="R83" s="28" t="n">
        <f aca="false">COUNT(G83:P83)</f>
        <v>1</v>
      </c>
      <c r="S83" s="28" t="n">
        <f aca="false">IF(R83 &gt;= Q83,0,1)</f>
        <v>0</v>
      </c>
      <c r="T83" s="28" t="n">
        <f aca="false">IF(AND(R83 &gt; 0,Q83=0),1,0)</f>
        <v>0</v>
      </c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</row>
    <row r="84" customFormat="false" ht="11.25" hidden="false" customHeight="false" outlineLevel="0" collapsed="false">
      <c r="A84" s="6" t="n">
        <v>84</v>
      </c>
      <c r="B84" s="6" t="n">
        <f aca="false">Codestufen!D85</f>
        <v>0</v>
      </c>
      <c r="C84" s="6" t="n">
        <f aca="false">COUNTIF(V_W_q6mdg_Zuord,A84)</f>
        <v>0</v>
      </c>
      <c r="D84" s="28" t="s">
        <v>52</v>
      </c>
      <c r="E84" s="28" t="n">
        <v>56</v>
      </c>
      <c r="F84" s="29" t="s">
        <v>57</v>
      </c>
      <c r="G84" s="30" t="n">
        <v>2</v>
      </c>
      <c r="H84" s="30"/>
      <c r="I84" s="30"/>
      <c r="J84" s="30"/>
      <c r="K84" s="30"/>
      <c r="L84" s="30"/>
      <c r="M84" s="30"/>
      <c r="N84" s="30"/>
      <c r="O84" s="30"/>
      <c r="P84" s="30"/>
      <c r="Q84" s="28" t="n">
        <f aca="false">IF(TRIM(F84)="",0,1)</f>
        <v>1</v>
      </c>
      <c r="R84" s="28" t="n">
        <f aca="false">COUNT(G84:P84)</f>
        <v>1</v>
      </c>
      <c r="S84" s="28" t="n">
        <f aca="false">IF(R84 &gt;= Q84,0,1)</f>
        <v>0</v>
      </c>
      <c r="T84" s="28" t="n">
        <f aca="false">IF(AND(R84 &gt; 0,Q84=0),1,0)</f>
        <v>0</v>
      </c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</row>
    <row r="85" customFormat="false" ht="11.25" hidden="false" customHeight="false" outlineLevel="0" collapsed="false">
      <c r="A85" s="6" t="n">
        <v>85</v>
      </c>
      <c r="B85" s="6" t="n">
        <f aca="false">Codestufen!D86</f>
        <v>0</v>
      </c>
      <c r="C85" s="6" t="n">
        <f aca="false">COUNTIF(V_W_q6mdg_Zuord,A85)</f>
        <v>0</v>
      </c>
      <c r="D85" s="28" t="s">
        <v>52</v>
      </c>
      <c r="E85" s="28" t="n">
        <v>57</v>
      </c>
      <c r="F85" s="29" t="s">
        <v>57</v>
      </c>
      <c r="G85" s="30" t="n">
        <v>2</v>
      </c>
      <c r="H85" s="30"/>
      <c r="I85" s="30"/>
      <c r="J85" s="30"/>
      <c r="K85" s="30"/>
      <c r="L85" s="30"/>
      <c r="M85" s="30"/>
      <c r="N85" s="30"/>
      <c r="O85" s="30"/>
      <c r="P85" s="30"/>
      <c r="Q85" s="28" t="n">
        <f aca="false">IF(TRIM(F85)="",0,1)</f>
        <v>1</v>
      </c>
      <c r="R85" s="28" t="n">
        <f aca="false">COUNT(G85:P85)</f>
        <v>1</v>
      </c>
      <c r="S85" s="28" t="n">
        <f aca="false">IF(R85 &gt;= Q85,0,1)</f>
        <v>0</v>
      </c>
      <c r="T85" s="28" t="n">
        <f aca="false">IF(AND(R85 &gt; 0,Q85=0),1,0)</f>
        <v>0</v>
      </c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</row>
    <row r="86" customFormat="false" ht="11.25" hidden="false" customHeight="false" outlineLevel="0" collapsed="false">
      <c r="A86" s="6" t="n">
        <v>86</v>
      </c>
      <c r="B86" s="6" t="n">
        <f aca="false">Codestufen!D87</f>
        <v>0</v>
      </c>
      <c r="C86" s="6" t="n">
        <f aca="false">COUNTIF(V_W_q6mdg_Zuord,A86)</f>
        <v>0</v>
      </c>
      <c r="D86" s="28" t="s">
        <v>52</v>
      </c>
      <c r="E86" s="28" t="n">
        <v>66</v>
      </c>
      <c r="F86" s="29" t="s">
        <v>57</v>
      </c>
      <c r="G86" s="30" t="n">
        <v>2</v>
      </c>
      <c r="H86" s="30"/>
      <c r="I86" s="30"/>
      <c r="J86" s="30"/>
      <c r="K86" s="30"/>
      <c r="L86" s="30"/>
      <c r="M86" s="30"/>
      <c r="N86" s="30"/>
      <c r="O86" s="30"/>
      <c r="P86" s="30"/>
      <c r="Q86" s="28" t="n">
        <f aca="false">IF(TRIM(F86)="",0,1)</f>
        <v>1</v>
      </c>
      <c r="R86" s="28" t="n">
        <f aca="false">COUNT(G86:P86)</f>
        <v>1</v>
      </c>
      <c r="S86" s="28" t="n">
        <f aca="false">IF(R86 &gt;= Q86,0,1)</f>
        <v>0</v>
      </c>
      <c r="T86" s="28" t="n">
        <f aca="false">IF(AND(R86 &gt; 0,Q86=0),1,0)</f>
        <v>0</v>
      </c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</row>
    <row r="87" customFormat="false" ht="11.25" hidden="false" customHeight="false" outlineLevel="0" collapsed="false">
      <c r="A87" s="6" t="n">
        <v>87</v>
      </c>
      <c r="B87" s="6" t="n">
        <f aca="false">Codestufen!D88</f>
        <v>0</v>
      </c>
      <c r="C87" s="6" t="n">
        <f aca="false">COUNTIF(V_W_q6mdg_Zuord,A87)</f>
        <v>0</v>
      </c>
      <c r="D87" s="28" t="s">
        <v>52</v>
      </c>
      <c r="E87" s="28" t="n">
        <v>71</v>
      </c>
      <c r="F87" s="29" t="s">
        <v>57</v>
      </c>
      <c r="G87" s="30" t="n">
        <v>2</v>
      </c>
      <c r="H87" s="30"/>
      <c r="I87" s="30"/>
      <c r="J87" s="30"/>
      <c r="K87" s="30"/>
      <c r="L87" s="30"/>
      <c r="M87" s="30"/>
      <c r="N87" s="30"/>
      <c r="O87" s="30"/>
      <c r="P87" s="30"/>
      <c r="Q87" s="28" t="n">
        <f aca="false">IF(TRIM(F87)="",0,1)</f>
        <v>1</v>
      </c>
      <c r="R87" s="28" t="n">
        <f aca="false">COUNT(G87:P87)</f>
        <v>1</v>
      </c>
      <c r="S87" s="28" t="n">
        <f aca="false">IF(R87 &gt;= Q87,0,1)</f>
        <v>0</v>
      </c>
      <c r="T87" s="28" t="n">
        <f aca="false">IF(AND(R87 &gt; 0,Q87=0),1,0)</f>
        <v>0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</row>
    <row r="88" customFormat="false" ht="11.25" hidden="false" customHeight="false" outlineLevel="0" collapsed="false">
      <c r="A88" s="6" t="n">
        <v>88</v>
      </c>
      <c r="B88" s="6" t="n">
        <f aca="false">Codestufen!D89</f>
        <v>0</v>
      </c>
      <c r="C88" s="6" t="n">
        <f aca="false">COUNTIF(V_W_q6mdg_Zuord,A88)</f>
        <v>0</v>
      </c>
      <c r="D88" s="28" t="s">
        <v>52</v>
      </c>
      <c r="E88" s="28" t="n">
        <v>77</v>
      </c>
      <c r="F88" s="29" t="s">
        <v>57</v>
      </c>
      <c r="G88" s="30" t="n">
        <v>2</v>
      </c>
      <c r="H88" s="30"/>
      <c r="I88" s="30"/>
      <c r="J88" s="30"/>
      <c r="K88" s="30"/>
      <c r="L88" s="30"/>
      <c r="M88" s="30"/>
      <c r="N88" s="30"/>
      <c r="O88" s="30"/>
      <c r="P88" s="30"/>
      <c r="Q88" s="28" t="n">
        <f aca="false">IF(TRIM(F88)="",0,1)</f>
        <v>1</v>
      </c>
      <c r="R88" s="28" t="n">
        <f aca="false">COUNT(G88:P88)</f>
        <v>1</v>
      </c>
      <c r="S88" s="28" t="n">
        <f aca="false">IF(R88 &gt;= Q88,0,1)</f>
        <v>0</v>
      </c>
      <c r="T88" s="28" t="n">
        <f aca="false">IF(AND(R88 &gt; 0,Q88=0),1,0)</f>
        <v>0</v>
      </c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</row>
    <row r="89" customFormat="false" ht="11.25" hidden="false" customHeight="false" outlineLevel="0" collapsed="false">
      <c r="A89" s="6" t="n">
        <v>89</v>
      </c>
      <c r="B89" s="6" t="n">
        <f aca="false">Codestufen!D90</f>
        <v>0</v>
      </c>
      <c r="C89" s="6" t="n">
        <f aca="false">COUNTIF(V_W_q6mdg_Zuord,A89)</f>
        <v>0</v>
      </c>
      <c r="D89" s="28" t="s">
        <v>52</v>
      </c>
      <c r="E89" s="28" t="n">
        <v>83</v>
      </c>
      <c r="F89" s="29" t="s">
        <v>57</v>
      </c>
      <c r="G89" s="30" t="n">
        <v>2</v>
      </c>
      <c r="H89" s="30"/>
      <c r="I89" s="30"/>
      <c r="J89" s="30"/>
      <c r="K89" s="30"/>
      <c r="L89" s="30"/>
      <c r="M89" s="30"/>
      <c r="N89" s="30"/>
      <c r="O89" s="30"/>
      <c r="P89" s="30"/>
      <c r="Q89" s="28" t="n">
        <f aca="false">IF(TRIM(F89)="",0,1)</f>
        <v>1</v>
      </c>
      <c r="R89" s="28" t="n">
        <f aca="false">COUNT(G89:P89)</f>
        <v>1</v>
      </c>
      <c r="S89" s="28" t="n">
        <f aca="false">IF(R89 &gt;= Q89,0,1)</f>
        <v>0</v>
      </c>
      <c r="T89" s="28" t="n">
        <f aca="false">IF(AND(R89 &gt; 0,Q89=0),1,0)</f>
        <v>0</v>
      </c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</row>
    <row r="90" customFormat="false" ht="11.25" hidden="false" customHeight="false" outlineLevel="0" collapsed="false">
      <c r="A90" s="6" t="n">
        <v>90</v>
      </c>
      <c r="B90" s="6" t="n">
        <f aca="false">Codestufen!D91</f>
        <v>0</v>
      </c>
      <c r="C90" s="6" t="n">
        <f aca="false">COUNTIF(V_W_q6mdg_Zuord,A90)</f>
        <v>0</v>
      </c>
      <c r="D90" s="28" t="s">
        <v>52</v>
      </c>
      <c r="E90" s="28" t="n">
        <v>85</v>
      </c>
      <c r="F90" s="29" t="s">
        <v>57</v>
      </c>
      <c r="G90" s="30" t="n">
        <v>2</v>
      </c>
      <c r="H90" s="30"/>
      <c r="I90" s="30"/>
      <c r="J90" s="30"/>
      <c r="K90" s="30"/>
      <c r="L90" s="30"/>
      <c r="M90" s="30"/>
      <c r="N90" s="30"/>
      <c r="O90" s="30"/>
      <c r="P90" s="30"/>
      <c r="Q90" s="28" t="n">
        <f aca="false">IF(TRIM(F90)="",0,1)</f>
        <v>1</v>
      </c>
      <c r="R90" s="28" t="n">
        <f aca="false">COUNT(G90:P90)</f>
        <v>1</v>
      </c>
      <c r="S90" s="28" t="n">
        <f aca="false">IF(R90 &gt;= Q90,0,1)</f>
        <v>0</v>
      </c>
      <c r="T90" s="28" t="n">
        <f aca="false">IF(AND(R90 &gt; 0,Q90=0),1,0)</f>
        <v>0</v>
      </c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</row>
    <row r="91" customFormat="false" ht="11.25" hidden="false" customHeight="false" outlineLevel="0" collapsed="false">
      <c r="A91" s="6" t="n">
        <v>91</v>
      </c>
      <c r="B91" s="6" t="n">
        <f aca="false">Codestufen!D92</f>
        <v>0</v>
      </c>
      <c r="C91" s="6" t="n">
        <f aca="false">COUNTIF(V_W_q6mdg_Zuord,A91)</f>
        <v>0</v>
      </c>
      <c r="D91" s="28" t="s">
        <v>52</v>
      </c>
      <c r="E91" s="28" t="n">
        <v>90</v>
      </c>
      <c r="F91" s="29" t="s">
        <v>57</v>
      </c>
      <c r="G91" s="30" t="n">
        <v>2</v>
      </c>
      <c r="H91" s="30"/>
      <c r="I91" s="30"/>
      <c r="J91" s="30"/>
      <c r="K91" s="30"/>
      <c r="L91" s="30"/>
      <c r="M91" s="30"/>
      <c r="N91" s="30"/>
      <c r="O91" s="30"/>
      <c r="P91" s="30"/>
      <c r="Q91" s="28" t="n">
        <f aca="false">IF(TRIM(F91)="",0,1)</f>
        <v>1</v>
      </c>
      <c r="R91" s="28" t="n">
        <f aca="false">COUNT(G91:P91)</f>
        <v>1</v>
      </c>
      <c r="S91" s="28" t="n">
        <f aca="false">IF(R91 &gt;= Q91,0,1)</f>
        <v>0</v>
      </c>
      <c r="T91" s="28" t="n">
        <f aca="false">IF(AND(R91 &gt; 0,Q91=0),1,0)</f>
        <v>0</v>
      </c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</row>
    <row r="92" customFormat="false" ht="11.25" hidden="false" customHeight="false" outlineLevel="0" collapsed="false">
      <c r="A92" s="6" t="n">
        <v>92</v>
      </c>
      <c r="B92" s="6" t="n">
        <f aca="false">Codestufen!D93</f>
        <v>0</v>
      </c>
      <c r="C92" s="6" t="n">
        <f aca="false">COUNTIF(V_W_q6mdg_Zuord,A92)</f>
        <v>0</v>
      </c>
      <c r="D92" s="28" t="s">
        <v>52</v>
      </c>
      <c r="E92" s="28" t="n">
        <v>94</v>
      </c>
      <c r="F92" s="29" t="s">
        <v>57</v>
      </c>
      <c r="G92" s="30" t="n">
        <v>2</v>
      </c>
      <c r="H92" s="30"/>
      <c r="I92" s="30"/>
      <c r="J92" s="30"/>
      <c r="K92" s="30"/>
      <c r="L92" s="30"/>
      <c r="M92" s="30"/>
      <c r="N92" s="30"/>
      <c r="O92" s="30"/>
      <c r="P92" s="30"/>
      <c r="Q92" s="28" t="n">
        <f aca="false">IF(TRIM(F92)="",0,1)</f>
        <v>1</v>
      </c>
      <c r="R92" s="28" t="n">
        <f aca="false">COUNT(G92:P92)</f>
        <v>1</v>
      </c>
      <c r="S92" s="28" t="n">
        <f aca="false">IF(R92 &gt;= Q92,0,1)</f>
        <v>0</v>
      </c>
      <c r="T92" s="28" t="n">
        <f aca="false">IF(AND(R92 &gt; 0,Q92=0),1,0)</f>
        <v>0</v>
      </c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</row>
    <row r="93" customFormat="false" ht="11.25" hidden="false" customHeight="false" outlineLevel="0" collapsed="false">
      <c r="A93" s="6" t="n">
        <v>93</v>
      </c>
      <c r="B93" s="6" t="n">
        <f aca="false">Codestufen!D94</f>
        <v>0</v>
      </c>
      <c r="C93" s="6" t="n">
        <f aca="false">COUNTIF(V_W_q6mdg_Zuord,A93)</f>
        <v>0</v>
      </c>
      <c r="D93" s="28" t="s">
        <v>52</v>
      </c>
      <c r="E93" s="28" t="n">
        <v>96</v>
      </c>
      <c r="F93" s="29" t="s">
        <v>57</v>
      </c>
      <c r="G93" s="30" t="n">
        <v>2</v>
      </c>
      <c r="H93" s="30"/>
      <c r="I93" s="30"/>
      <c r="J93" s="30"/>
      <c r="K93" s="30"/>
      <c r="L93" s="30"/>
      <c r="M93" s="30"/>
      <c r="N93" s="30"/>
      <c r="O93" s="30"/>
      <c r="P93" s="30"/>
      <c r="Q93" s="28" t="n">
        <f aca="false">IF(TRIM(F93)="",0,1)</f>
        <v>1</v>
      </c>
      <c r="R93" s="28" t="n">
        <f aca="false">COUNT(G93:P93)</f>
        <v>1</v>
      </c>
      <c r="S93" s="28" t="n">
        <f aca="false">IF(R93 &gt;= Q93,0,1)</f>
        <v>0</v>
      </c>
      <c r="T93" s="28" t="n">
        <f aca="false">IF(AND(R93 &gt; 0,Q93=0),1,0)</f>
        <v>0</v>
      </c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</row>
    <row r="94" customFormat="false" ht="11.25" hidden="false" customHeight="false" outlineLevel="0" collapsed="false">
      <c r="A94" s="6" t="n">
        <v>94</v>
      </c>
      <c r="B94" s="6" t="n">
        <f aca="false">Codestufen!D95</f>
        <v>0</v>
      </c>
      <c r="C94" s="6" t="n">
        <f aca="false">COUNTIF(V_W_q6mdg_Zuord,A94)</f>
        <v>0</v>
      </c>
      <c r="D94" s="28" t="s">
        <v>52</v>
      </c>
      <c r="E94" s="28" t="n">
        <v>2</v>
      </c>
      <c r="F94" s="29" t="s">
        <v>58</v>
      </c>
      <c r="G94" s="30" t="n">
        <v>3</v>
      </c>
      <c r="H94" s="30"/>
      <c r="I94" s="30"/>
      <c r="J94" s="30"/>
      <c r="K94" s="30"/>
      <c r="L94" s="30"/>
      <c r="M94" s="30"/>
      <c r="N94" s="30"/>
      <c r="O94" s="30"/>
      <c r="P94" s="30"/>
      <c r="Q94" s="28" t="n">
        <f aca="false">IF(TRIM(F94)="",0,1)</f>
        <v>1</v>
      </c>
      <c r="R94" s="28" t="n">
        <f aca="false">COUNT(G94:P94)</f>
        <v>1</v>
      </c>
      <c r="S94" s="28" t="n">
        <f aca="false">IF(R94 &gt;= Q94,0,1)</f>
        <v>0</v>
      </c>
      <c r="T94" s="28" t="n">
        <f aca="false">IF(AND(R94 &gt; 0,Q94=0),1,0)</f>
        <v>0</v>
      </c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</row>
    <row r="95" customFormat="false" ht="11.25" hidden="false" customHeight="false" outlineLevel="0" collapsed="false">
      <c r="A95" s="6" t="n">
        <v>95</v>
      </c>
      <c r="B95" s="6" t="n">
        <f aca="false">Codestufen!D96</f>
        <v>0</v>
      </c>
      <c r="C95" s="6" t="n">
        <f aca="false">COUNTIF(V_W_q6mdg_Zuord,A95)</f>
        <v>0</v>
      </c>
      <c r="D95" s="28" t="s">
        <v>52</v>
      </c>
      <c r="E95" s="28" t="n">
        <v>15</v>
      </c>
      <c r="F95" s="29" t="s">
        <v>58</v>
      </c>
      <c r="G95" s="30" t="n">
        <v>3</v>
      </c>
      <c r="H95" s="30"/>
      <c r="I95" s="30"/>
      <c r="J95" s="30"/>
      <c r="K95" s="30"/>
      <c r="L95" s="30"/>
      <c r="M95" s="30"/>
      <c r="N95" s="30"/>
      <c r="O95" s="30"/>
      <c r="P95" s="30"/>
      <c r="Q95" s="28" t="n">
        <f aca="false">IF(TRIM(F95)="",0,1)</f>
        <v>1</v>
      </c>
      <c r="R95" s="28" t="n">
        <f aca="false">COUNT(G95:P95)</f>
        <v>1</v>
      </c>
      <c r="S95" s="28" t="n">
        <f aca="false">IF(R95 &gt;= Q95,0,1)</f>
        <v>0</v>
      </c>
      <c r="T95" s="28" t="n">
        <f aca="false">IF(AND(R95 &gt; 0,Q95=0),1,0)</f>
        <v>0</v>
      </c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</row>
    <row r="96" customFormat="false" ht="11.25" hidden="false" customHeight="false" outlineLevel="0" collapsed="false">
      <c r="A96" s="6" t="n">
        <v>96</v>
      </c>
      <c r="B96" s="6" t="n">
        <f aca="false">Codestufen!D97</f>
        <v>0</v>
      </c>
      <c r="C96" s="6" t="n">
        <f aca="false">COUNTIF(V_W_q6mdg_Zuord,A96)</f>
        <v>0</v>
      </c>
      <c r="D96" s="28" t="s">
        <v>52</v>
      </c>
      <c r="E96" s="28" t="n">
        <v>21</v>
      </c>
      <c r="F96" s="29" t="s">
        <v>58</v>
      </c>
      <c r="G96" s="30" t="n">
        <v>3</v>
      </c>
      <c r="H96" s="30"/>
      <c r="I96" s="30"/>
      <c r="J96" s="30"/>
      <c r="K96" s="30"/>
      <c r="L96" s="30"/>
      <c r="M96" s="30"/>
      <c r="N96" s="30"/>
      <c r="O96" s="30"/>
      <c r="P96" s="30"/>
      <c r="Q96" s="28" t="n">
        <f aca="false">IF(TRIM(F96)="",0,1)</f>
        <v>1</v>
      </c>
      <c r="R96" s="28" t="n">
        <f aca="false">COUNT(G96:P96)</f>
        <v>1</v>
      </c>
      <c r="S96" s="28" t="n">
        <f aca="false">IF(R96 &gt;= Q96,0,1)</f>
        <v>0</v>
      </c>
      <c r="T96" s="28" t="n">
        <f aca="false">IF(AND(R96 &gt; 0,Q96=0),1,0)</f>
        <v>0</v>
      </c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</row>
    <row r="97" customFormat="false" ht="11.25" hidden="false" customHeight="false" outlineLevel="0" collapsed="false">
      <c r="A97" s="6" t="n">
        <v>97</v>
      </c>
      <c r="B97" s="6" t="str">
        <f aca="false">Codestufen!D98</f>
        <v>Others</v>
      </c>
      <c r="C97" s="6" t="n">
        <f aca="false">COUNTIF(V_W_q6mdg_Zuord,A97)</f>
        <v>0</v>
      </c>
      <c r="D97" s="28" t="s">
        <v>52</v>
      </c>
      <c r="E97" s="28" t="n">
        <v>27</v>
      </c>
      <c r="F97" s="29" t="s">
        <v>58</v>
      </c>
      <c r="G97" s="30" t="n">
        <v>3</v>
      </c>
      <c r="H97" s="30"/>
      <c r="I97" s="30"/>
      <c r="J97" s="30"/>
      <c r="K97" s="30"/>
      <c r="L97" s="30"/>
      <c r="M97" s="30"/>
      <c r="N97" s="30"/>
      <c r="O97" s="30"/>
      <c r="P97" s="30"/>
      <c r="Q97" s="28" t="n">
        <f aca="false">IF(TRIM(F97)="",0,1)</f>
        <v>1</v>
      </c>
      <c r="R97" s="28" t="n">
        <f aca="false">COUNT(G97:P97)</f>
        <v>1</v>
      </c>
      <c r="S97" s="28" t="n">
        <f aca="false">IF(R97 &gt;= Q97,0,1)</f>
        <v>0</v>
      </c>
      <c r="T97" s="28" t="n">
        <f aca="false">IF(AND(R97 &gt; 0,Q97=0),1,0)</f>
        <v>0</v>
      </c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</row>
    <row r="98" customFormat="false" ht="11.25" hidden="false" customHeight="false" outlineLevel="0" collapsed="false">
      <c r="A98" s="6" t="n">
        <v>98</v>
      </c>
      <c r="B98" s="6" t="n">
        <f aca="false">Codestufen!D99</f>
        <v>0</v>
      </c>
      <c r="C98" s="6" t="n">
        <f aca="false">COUNTIF(V_W_q6mdg_Zuord,A98)</f>
        <v>0</v>
      </c>
      <c r="D98" s="28" t="s">
        <v>52</v>
      </c>
      <c r="E98" s="28" t="n">
        <v>37</v>
      </c>
      <c r="F98" s="29" t="s">
        <v>58</v>
      </c>
      <c r="G98" s="30" t="n">
        <v>3</v>
      </c>
      <c r="H98" s="30"/>
      <c r="I98" s="30"/>
      <c r="J98" s="30"/>
      <c r="K98" s="30"/>
      <c r="L98" s="30"/>
      <c r="M98" s="30"/>
      <c r="N98" s="30"/>
      <c r="O98" s="30"/>
      <c r="P98" s="30"/>
      <c r="Q98" s="28" t="n">
        <f aca="false">IF(TRIM(F98)="",0,1)</f>
        <v>1</v>
      </c>
      <c r="R98" s="28" t="n">
        <f aca="false">COUNT(G98:P98)</f>
        <v>1</v>
      </c>
      <c r="S98" s="28" t="n">
        <f aca="false">IF(R98 &gt;= Q98,0,1)</f>
        <v>0</v>
      </c>
      <c r="T98" s="28" t="n">
        <f aca="false">IF(AND(R98 &gt; 0,Q98=0),1,0)</f>
        <v>0</v>
      </c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</row>
    <row r="99" customFormat="false" ht="11.25" hidden="false" customHeight="false" outlineLevel="0" collapsed="false">
      <c r="A99" s="6" t="n">
        <v>99</v>
      </c>
      <c r="B99" s="6" t="str">
        <f aca="false">Codestufen!D100</f>
        <v>No answer</v>
      </c>
      <c r="C99" s="6" t="n">
        <f aca="false">COUNTIF(V_W_q6mdg_Zuord,A99)</f>
        <v>0</v>
      </c>
      <c r="D99" s="28" t="s">
        <v>52</v>
      </c>
      <c r="E99" s="28" t="n">
        <v>40</v>
      </c>
      <c r="F99" s="29" t="s">
        <v>58</v>
      </c>
      <c r="G99" s="30" t="n">
        <v>3</v>
      </c>
      <c r="H99" s="30"/>
      <c r="I99" s="30"/>
      <c r="J99" s="30"/>
      <c r="K99" s="30"/>
      <c r="L99" s="30"/>
      <c r="M99" s="30"/>
      <c r="N99" s="30"/>
      <c r="O99" s="30"/>
      <c r="P99" s="30"/>
      <c r="Q99" s="28" t="n">
        <f aca="false">IF(TRIM(F99)="",0,1)</f>
        <v>1</v>
      </c>
      <c r="R99" s="28" t="n">
        <f aca="false">COUNT(G99:P99)</f>
        <v>1</v>
      </c>
      <c r="S99" s="28" t="n">
        <f aca="false">IF(R99 &gt;= Q99,0,1)</f>
        <v>0</v>
      </c>
      <c r="T99" s="28" t="n">
        <f aca="false">IF(AND(R99 &gt; 0,Q99=0),1,0)</f>
        <v>0</v>
      </c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</row>
    <row r="100" customFormat="false" ht="11.25" hidden="false" customHeight="false" outlineLevel="0" collapsed="false">
      <c r="A100" s="6" t="n">
        <v>100</v>
      </c>
      <c r="B100" s="6" t="n">
        <f aca="false">Codestufen!D101</f>
        <v>0</v>
      </c>
      <c r="C100" s="6" t="n">
        <f aca="false">COUNTIF(V_W_q6mdg_Zuord,A100)</f>
        <v>0</v>
      </c>
      <c r="D100" s="28" t="s">
        <v>52</v>
      </c>
      <c r="E100" s="28" t="n">
        <v>63</v>
      </c>
      <c r="F100" s="29" t="s">
        <v>58</v>
      </c>
      <c r="G100" s="30" t="n">
        <v>3</v>
      </c>
      <c r="H100" s="30"/>
      <c r="I100" s="30"/>
      <c r="J100" s="30"/>
      <c r="K100" s="30"/>
      <c r="L100" s="30"/>
      <c r="M100" s="30"/>
      <c r="N100" s="30"/>
      <c r="O100" s="30"/>
      <c r="P100" s="30"/>
      <c r="Q100" s="28" t="n">
        <f aca="false">IF(TRIM(F100)="",0,1)</f>
        <v>1</v>
      </c>
      <c r="R100" s="28" t="n">
        <f aca="false">COUNT(G100:P100)</f>
        <v>1</v>
      </c>
      <c r="S100" s="28" t="n">
        <f aca="false">IF(R100 &gt;= Q100,0,1)</f>
        <v>0</v>
      </c>
      <c r="T100" s="28" t="n">
        <f aca="false">IF(AND(R100 &gt; 0,Q100=0),1,0)</f>
        <v>0</v>
      </c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</row>
    <row r="101" customFormat="false" ht="11.25" hidden="false" customHeight="false" outlineLevel="0" collapsed="false">
      <c r="D101" s="28" t="s">
        <v>52</v>
      </c>
      <c r="E101" s="28" t="n">
        <v>69</v>
      </c>
      <c r="F101" s="29" t="s">
        <v>58</v>
      </c>
      <c r="G101" s="30" t="n">
        <v>3</v>
      </c>
      <c r="H101" s="30"/>
      <c r="I101" s="30"/>
      <c r="J101" s="30"/>
      <c r="K101" s="30"/>
      <c r="L101" s="30"/>
      <c r="M101" s="30"/>
      <c r="N101" s="30"/>
      <c r="O101" s="30"/>
      <c r="P101" s="30"/>
      <c r="Q101" s="28" t="n">
        <f aca="false">IF(TRIM(F101)="",0,1)</f>
        <v>1</v>
      </c>
      <c r="R101" s="28" t="n">
        <f aca="false">COUNT(G101:P101)</f>
        <v>1</v>
      </c>
      <c r="S101" s="28" t="n">
        <f aca="false">IF(R101 &gt;= Q101,0,1)</f>
        <v>0</v>
      </c>
      <c r="T101" s="28" t="n">
        <f aca="false">IF(AND(R101 &gt; 0,Q101=0),1,0)</f>
        <v>0</v>
      </c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</row>
    <row r="102" customFormat="false" ht="11.25" hidden="false" customHeight="false" outlineLevel="0" collapsed="false">
      <c r="D102" s="28" t="s">
        <v>52</v>
      </c>
      <c r="E102" s="28" t="n">
        <v>76</v>
      </c>
      <c r="F102" s="29" t="s">
        <v>58</v>
      </c>
      <c r="G102" s="30" t="n">
        <v>3</v>
      </c>
      <c r="H102" s="30"/>
      <c r="I102" s="30"/>
      <c r="J102" s="30"/>
      <c r="K102" s="30"/>
      <c r="L102" s="30"/>
      <c r="M102" s="30"/>
      <c r="N102" s="30"/>
      <c r="O102" s="30"/>
      <c r="P102" s="30"/>
      <c r="Q102" s="28" t="n">
        <f aca="false">IF(TRIM(F102)="",0,1)</f>
        <v>1</v>
      </c>
      <c r="R102" s="28" t="n">
        <f aca="false">COUNT(G102:P102)</f>
        <v>1</v>
      </c>
      <c r="S102" s="28" t="n">
        <f aca="false">IF(R102 &gt;= Q102,0,1)</f>
        <v>0</v>
      </c>
      <c r="T102" s="28" t="n">
        <f aca="false">IF(AND(R102 &gt; 0,Q102=0),1,0)</f>
        <v>0</v>
      </c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</row>
    <row r="103" customFormat="false" ht="11.25" hidden="false" customHeight="false" outlineLevel="0" collapsed="false">
      <c r="D103" s="28" t="s">
        <v>52</v>
      </c>
      <c r="E103" s="28" t="n">
        <v>99</v>
      </c>
      <c r="F103" s="29" t="s">
        <v>58</v>
      </c>
      <c r="G103" s="30" t="n">
        <v>3</v>
      </c>
      <c r="H103" s="30"/>
      <c r="I103" s="30"/>
      <c r="J103" s="30"/>
      <c r="K103" s="30"/>
      <c r="L103" s="30"/>
      <c r="M103" s="30"/>
      <c r="N103" s="30"/>
      <c r="O103" s="30"/>
      <c r="P103" s="30"/>
      <c r="Q103" s="28" t="n">
        <f aca="false">IF(TRIM(F103)="",0,1)</f>
        <v>1</v>
      </c>
      <c r="R103" s="28" t="n">
        <f aca="false">COUNT(G103:P103)</f>
        <v>1</v>
      </c>
      <c r="S103" s="28" t="n">
        <f aca="false">IF(R103 &gt;= Q103,0,1)</f>
        <v>0</v>
      </c>
      <c r="T103" s="28" t="n">
        <f aca="false">IF(AND(R103 &gt; 0,Q103=0),1,0)</f>
        <v>0</v>
      </c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</row>
    <row r="104" customFormat="false" ht="11.25" hidden="false" customHeight="false" outlineLevel="0" collapsed="false">
      <c r="D104" s="28" t="s">
        <v>52</v>
      </c>
      <c r="E104" s="28" t="n">
        <v>1</v>
      </c>
      <c r="F104" s="29" t="s">
        <v>59</v>
      </c>
      <c r="G104" s="30" t="n">
        <v>1</v>
      </c>
      <c r="H104" s="30"/>
      <c r="I104" s="30"/>
      <c r="J104" s="30"/>
      <c r="K104" s="30"/>
      <c r="L104" s="30"/>
      <c r="M104" s="30"/>
      <c r="N104" s="30"/>
      <c r="O104" s="30"/>
      <c r="P104" s="30"/>
      <c r="Q104" s="28" t="n">
        <f aca="false">IF(TRIM(F104)="",0,1)</f>
        <v>1</v>
      </c>
      <c r="R104" s="28" t="n">
        <f aca="false">COUNT(G104:P104)</f>
        <v>1</v>
      </c>
      <c r="S104" s="28" t="n">
        <f aca="false">IF(R104 &gt;= Q104,0,1)</f>
        <v>0</v>
      </c>
      <c r="T104" s="28" t="n">
        <f aca="false">IF(AND(R104 &gt; 0,Q104=0),1,0)</f>
        <v>0</v>
      </c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</row>
    <row r="105" customFormat="false" ht="11.25" hidden="false" customHeight="false" outlineLevel="0" collapsed="false">
      <c r="D105" s="28" t="s">
        <v>52</v>
      </c>
      <c r="E105" s="28" t="n">
        <v>10</v>
      </c>
      <c r="F105" s="29" t="s">
        <v>59</v>
      </c>
      <c r="G105" s="30" t="n">
        <v>1</v>
      </c>
      <c r="H105" s="30"/>
      <c r="I105" s="30"/>
      <c r="J105" s="30"/>
      <c r="K105" s="30"/>
      <c r="L105" s="30"/>
      <c r="M105" s="30"/>
      <c r="N105" s="30"/>
      <c r="O105" s="30"/>
      <c r="P105" s="30"/>
      <c r="Q105" s="28" t="n">
        <f aca="false">IF(TRIM(F105)="",0,1)</f>
        <v>1</v>
      </c>
      <c r="R105" s="28" t="n">
        <f aca="false">COUNT(G105:P105)</f>
        <v>1</v>
      </c>
      <c r="S105" s="28" t="n">
        <f aca="false">IF(R105 &gt;= Q105,0,1)</f>
        <v>0</v>
      </c>
      <c r="T105" s="28" t="n">
        <f aca="false">IF(AND(R105 &gt; 0,Q105=0),1,0)</f>
        <v>0</v>
      </c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</row>
    <row r="106" customFormat="false" ht="11.25" hidden="false" customHeight="false" outlineLevel="0" collapsed="false">
      <c r="D106" s="28" t="s">
        <v>52</v>
      </c>
      <c r="E106" s="28" t="n">
        <v>16</v>
      </c>
      <c r="F106" s="29" t="s">
        <v>59</v>
      </c>
      <c r="G106" s="30" t="n">
        <v>1</v>
      </c>
      <c r="H106" s="30"/>
      <c r="I106" s="30"/>
      <c r="J106" s="30"/>
      <c r="K106" s="30"/>
      <c r="L106" s="30"/>
      <c r="M106" s="30"/>
      <c r="N106" s="30"/>
      <c r="O106" s="30"/>
      <c r="P106" s="30"/>
      <c r="Q106" s="28" t="n">
        <f aca="false">IF(TRIM(F106)="",0,1)</f>
        <v>1</v>
      </c>
      <c r="R106" s="28" t="n">
        <f aca="false">COUNT(G106:P106)</f>
        <v>1</v>
      </c>
      <c r="S106" s="28" t="n">
        <f aca="false">IF(R106 &gt;= Q106,0,1)</f>
        <v>0</v>
      </c>
      <c r="T106" s="28" t="n">
        <f aca="false">IF(AND(R106 &gt; 0,Q106=0),1,0)</f>
        <v>0</v>
      </c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</row>
    <row r="107" customFormat="false" ht="11.25" hidden="false" customHeight="false" outlineLevel="0" collapsed="false">
      <c r="D107" s="28" t="s">
        <v>52</v>
      </c>
      <c r="E107" s="28" t="n">
        <v>33</v>
      </c>
      <c r="F107" s="29" t="s">
        <v>59</v>
      </c>
      <c r="G107" s="30" t="n">
        <v>1</v>
      </c>
      <c r="H107" s="30"/>
      <c r="I107" s="30"/>
      <c r="J107" s="30"/>
      <c r="K107" s="30"/>
      <c r="L107" s="30"/>
      <c r="M107" s="30"/>
      <c r="N107" s="30"/>
      <c r="O107" s="30"/>
      <c r="P107" s="30"/>
      <c r="Q107" s="28" t="n">
        <f aca="false">IF(TRIM(F107)="",0,1)</f>
        <v>1</v>
      </c>
      <c r="R107" s="28" t="n">
        <f aca="false">COUNT(G107:P107)</f>
        <v>1</v>
      </c>
      <c r="S107" s="28" t="n">
        <f aca="false">IF(R107 &gt;= Q107,0,1)</f>
        <v>0</v>
      </c>
      <c r="T107" s="28" t="n">
        <f aca="false">IF(AND(R107 &gt; 0,Q107=0),1,0)</f>
        <v>0</v>
      </c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</row>
    <row r="108" customFormat="false" ht="11.25" hidden="false" customHeight="false" outlineLevel="0" collapsed="false">
      <c r="D108" s="28" t="s">
        <v>52</v>
      </c>
      <c r="E108" s="28" t="n">
        <v>41</v>
      </c>
      <c r="F108" s="29" t="s">
        <v>59</v>
      </c>
      <c r="G108" s="30" t="n">
        <v>1</v>
      </c>
      <c r="H108" s="30"/>
      <c r="I108" s="30"/>
      <c r="J108" s="30"/>
      <c r="K108" s="30"/>
      <c r="L108" s="30"/>
      <c r="M108" s="30"/>
      <c r="N108" s="30"/>
      <c r="O108" s="30"/>
      <c r="P108" s="30"/>
      <c r="Q108" s="28" t="n">
        <f aca="false">IF(TRIM(F108)="",0,1)</f>
        <v>1</v>
      </c>
      <c r="R108" s="28" t="n">
        <f aca="false">COUNT(G108:P108)</f>
        <v>1</v>
      </c>
      <c r="S108" s="28" t="n">
        <f aca="false">IF(R108 &gt;= Q108,0,1)</f>
        <v>0</v>
      </c>
      <c r="T108" s="28" t="n">
        <f aca="false">IF(AND(R108 &gt; 0,Q108=0),1,0)</f>
        <v>0</v>
      </c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</row>
    <row r="109" customFormat="false" ht="11.25" hidden="false" customHeight="false" outlineLevel="0" collapsed="false">
      <c r="D109" s="28" t="s">
        <v>52</v>
      </c>
      <c r="E109" s="28" t="n">
        <v>42</v>
      </c>
      <c r="F109" s="29" t="s">
        <v>59</v>
      </c>
      <c r="G109" s="30" t="n">
        <v>1</v>
      </c>
      <c r="H109" s="30"/>
      <c r="I109" s="30"/>
      <c r="J109" s="30"/>
      <c r="K109" s="30"/>
      <c r="L109" s="30"/>
      <c r="M109" s="30"/>
      <c r="N109" s="30"/>
      <c r="O109" s="30"/>
      <c r="P109" s="30"/>
      <c r="Q109" s="28" t="n">
        <f aca="false">IF(TRIM(F109)="",0,1)</f>
        <v>1</v>
      </c>
      <c r="R109" s="28" t="n">
        <f aca="false">COUNT(G109:P109)</f>
        <v>1</v>
      </c>
      <c r="S109" s="28" t="n">
        <f aca="false">IF(R109 &gt;= Q109,0,1)</f>
        <v>0</v>
      </c>
      <c r="T109" s="28" t="n">
        <f aca="false">IF(AND(R109 &gt; 0,Q109=0),1,0)</f>
        <v>0</v>
      </c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</row>
    <row r="110" customFormat="false" ht="11.25" hidden="false" customHeight="false" outlineLevel="0" collapsed="false">
      <c r="D110" s="28" t="s">
        <v>52</v>
      </c>
      <c r="E110" s="28" t="n">
        <v>68</v>
      </c>
      <c r="F110" s="29" t="s">
        <v>59</v>
      </c>
      <c r="G110" s="30" t="n">
        <v>1</v>
      </c>
      <c r="H110" s="30"/>
      <c r="I110" s="30"/>
      <c r="J110" s="30"/>
      <c r="K110" s="30"/>
      <c r="L110" s="30"/>
      <c r="M110" s="30"/>
      <c r="N110" s="30"/>
      <c r="O110" s="30"/>
      <c r="P110" s="30"/>
      <c r="Q110" s="28" t="n">
        <f aca="false">IF(TRIM(F110)="",0,1)</f>
        <v>1</v>
      </c>
      <c r="R110" s="28" t="n">
        <f aca="false">COUNT(G110:P110)</f>
        <v>1</v>
      </c>
      <c r="S110" s="28" t="n">
        <f aca="false">IF(R110 &gt;= Q110,0,1)</f>
        <v>0</v>
      </c>
      <c r="T110" s="28" t="n">
        <f aca="false">IF(AND(R110 &gt; 0,Q110=0),1,0)</f>
        <v>0</v>
      </c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</row>
    <row r="111" customFormat="false" ht="11.25" hidden="false" customHeight="false" outlineLevel="0" collapsed="false">
      <c r="D111" s="28" t="s">
        <v>52</v>
      </c>
      <c r="E111" s="28" t="n">
        <v>75</v>
      </c>
      <c r="F111" s="29" t="s">
        <v>59</v>
      </c>
      <c r="G111" s="30" t="n">
        <v>1</v>
      </c>
      <c r="H111" s="30"/>
      <c r="I111" s="30"/>
      <c r="J111" s="30"/>
      <c r="K111" s="30"/>
      <c r="L111" s="30"/>
      <c r="M111" s="30"/>
      <c r="N111" s="30"/>
      <c r="O111" s="30"/>
      <c r="P111" s="30"/>
      <c r="Q111" s="28" t="n">
        <f aca="false">IF(TRIM(F111)="",0,1)</f>
        <v>1</v>
      </c>
      <c r="R111" s="28" t="n">
        <f aca="false">COUNT(G111:P111)</f>
        <v>1</v>
      </c>
      <c r="S111" s="28" t="n">
        <f aca="false">IF(R111 &gt;= Q111,0,1)</f>
        <v>0</v>
      </c>
      <c r="T111" s="28" t="n">
        <f aca="false">IF(AND(R111 &gt; 0,Q111=0),1,0)</f>
        <v>0</v>
      </c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</row>
    <row r="112" customFormat="false" ht="11.25" hidden="false" customHeight="false" outlineLevel="0" collapsed="false">
      <c r="D112" s="28" t="s">
        <v>52</v>
      </c>
      <c r="E112" s="28" t="n">
        <v>82</v>
      </c>
      <c r="F112" s="29" t="s">
        <v>59</v>
      </c>
      <c r="G112" s="30" t="n">
        <v>1</v>
      </c>
      <c r="H112" s="30"/>
      <c r="I112" s="30"/>
      <c r="J112" s="30"/>
      <c r="K112" s="30"/>
      <c r="L112" s="30"/>
      <c r="M112" s="30"/>
      <c r="N112" s="30"/>
      <c r="O112" s="30"/>
      <c r="P112" s="30"/>
      <c r="Q112" s="28" t="n">
        <f aca="false">IF(TRIM(F112)="",0,1)</f>
        <v>1</v>
      </c>
      <c r="R112" s="28" t="n">
        <f aca="false">COUNT(G112:P112)</f>
        <v>1</v>
      </c>
      <c r="S112" s="28" t="n">
        <f aca="false">IF(R112 &gt;= Q112,0,1)</f>
        <v>0</v>
      </c>
      <c r="T112" s="28" t="n">
        <f aca="false">IF(AND(R112 &gt; 0,Q112=0),1,0)</f>
        <v>0</v>
      </c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</row>
    <row r="113" customFormat="false" ht="11.25" hidden="false" customHeight="false" outlineLevel="0" collapsed="false">
      <c r="D113" s="28" t="s">
        <v>52</v>
      </c>
      <c r="E113" s="28" t="n">
        <v>86</v>
      </c>
      <c r="F113" s="29" t="s">
        <v>59</v>
      </c>
      <c r="G113" s="30" t="n">
        <v>1</v>
      </c>
      <c r="H113" s="30"/>
      <c r="I113" s="30"/>
      <c r="J113" s="30"/>
      <c r="K113" s="30"/>
      <c r="L113" s="30"/>
      <c r="M113" s="30"/>
      <c r="N113" s="30"/>
      <c r="O113" s="30"/>
      <c r="P113" s="30"/>
      <c r="Q113" s="28" t="n">
        <f aca="false">IF(TRIM(F113)="",0,1)</f>
        <v>1</v>
      </c>
      <c r="R113" s="28" t="n">
        <f aca="false">COUNT(G113:P113)</f>
        <v>1</v>
      </c>
      <c r="S113" s="28" t="n">
        <f aca="false">IF(R113 &gt;= Q113,0,1)</f>
        <v>0</v>
      </c>
      <c r="T113" s="28" t="n">
        <f aca="false">IF(AND(R113 &gt; 0,Q113=0),1,0)</f>
        <v>0</v>
      </c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</row>
    <row r="114" customFormat="false" ht="11.25" hidden="false" customHeight="false" outlineLevel="0" collapsed="false">
      <c r="D114" s="28" t="s">
        <v>52</v>
      </c>
      <c r="E114" s="28" t="n">
        <v>93</v>
      </c>
      <c r="F114" s="29" t="s">
        <v>59</v>
      </c>
      <c r="G114" s="30" t="n">
        <v>1</v>
      </c>
      <c r="H114" s="30"/>
      <c r="I114" s="30"/>
      <c r="J114" s="30"/>
      <c r="K114" s="30"/>
      <c r="L114" s="30"/>
      <c r="M114" s="30"/>
      <c r="N114" s="30"/>
      <c r="O114" s="30"/>
      <c r="P114" s="30"/>
      <c r="Q114" s="28" t="n">
        <f aca="false">IF(TRIM(F114)="",0,1)</f>
        <v>1</v>
      </c>
      <c r="R114" s="28" t="n">
        <f aca="false">COUNT(G114:P114)</f>
        <v>1</v>
      </c>
      <c r="S114" s="28" t="n">
        <f aca="false">IF(R114 &gt;= Q114,0,1)</f>
        <v>0</v>
      </c>
      <c r="T114" s="28" t="n">
        <f aca="false">IF(AND(R114 &gt; 0,Q114=0),1,0)</f>
        <v>0</v>
      </c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</row>
    <row r="115" customFormat="false" ht="11.25" hidden="false" customHeight="false" outlineLevel="0" collapsed="false">
      <c r="D115" s="28" t="s">
        <v>52</v>
      </c>
      <c r="E115" s="28" t="n">
        <v>11</v>
      </c>
      <c r="F115" s="29" t="s">
        <v>60</v>
      </c>
      <c r="G115" s="30" t="n">
        <v>2</v>
      </c>
      <c r="H115" s="30"/>
      <c r="I115" s="30"/>
      <c r="J115" s="30"/>
      <c r="K115" s="30"/>
      <c r="L115" s="30"/>
      <c r="M115" s="30"/>
      <c r="N115" s="30"/>
      <c r="O115" s="30"/>
      <c r="P115" s="30"/>
      <c r="Q115" s="28" t="n">
        <f aca="false">IF(TRIM(F115)="",0,1)</f>
        <v>1</v>
      </c>
      <c r="R115" s="28" t="n">
        <f aca="false">COUNT(G115:P115)</f>
        <v>1</v>
      </c>
      <c r="S115" s="28" t="n">
        <f aca="false">IF(R115 &gt;= Q115,0,1)</f>
        <v>0</v>
      </c>
      <c r="T115" s="28" t="n">
        <f aca="false">IF(AND(R115 &gt; 0,Q115=0),1,0)</f>
        <v>0</v>
      </c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</row>
    <row r="116" customFormat="false" ht="11.25" hidden="false" customHeight="false" outlineLevel="0" collapsed="false">
      <c r="D116" s="28" t="s">
        <v>52</v>
      </c>
      <c r="E116" s="28" t="n">
        <v>20</v>
      </c>
      <c r="F116" s="29" t="s">
        <v>60</v>
      </c>
      <c r="G116" s="30" t="n">
        <v>2</v>
      </c>
      <c r="H116" s="30"/>
      <c r="I116" s="30"/>
      <c r="J116" s="30"/>
      <c r="K116" s="30"/>
      <c r="L116" s="30"/>
      <c r="M116" s="30"/>
      <c r="N116" s="30"/>
      <c r="O116" s="30"/>
      <c r="P116" s="30"/>
      <c r="Q116" s="28" t="n">
        <f aca="false">IF(TRIM(F116)="",0,1)</f>
        <v>1</v>
      </c>
      <c r="R116" s="28" t="n">
        <f aca="false">COUNT(G116:P116)</f>
        <v>1</v>
      </c>
      <c r="S116" s="28" t="n">
        <f aca="false">IF(R116 &gt;= Q116,0,1)</f>
        <v>0</v>
      </c>
      <c r="T116" s="28" t="n">
        <f aca="false">IF(AND(R116 &gt; 0,Q116=0),1,0)</f>
        <v>0</v>
      </c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</row>
    <row r="117" customFormat="false" ht="11.25" hidden="false" customHeight="false" outlineLevel="0" collapsed="false">
      <c r="D117" s="28" t="s">
        <v>52</v>
      </c>
      <c r="E117" s="28" t="n">
        <v>29</v>
      </c>
      <c r="F117" s="29" t="s">
        <v>60</v>
      </c>
      <c r="G117" s="30" t="n">
        <v>2</v>
      </c>
      <c r="H117" s="30"/>
      <c r="I117" s="30"/>
      <c r="J117" s="30"/>
      <c r="K117" s="30"/>
      <c r="L117" s="30"/>
      <c r="M117" s="30"/>
      <c r="N117" s="30"/>
      <c r="O117" s="30"/>
      <c r="P117" s="30"/>
      <c r="Q117" s="28" t="n">
        <f aca="false">IF(TRIM(F117)="",0,1)</f>
        <v>1</v>
      </c>
      <c r="R117" s="28" t="n">
        <f aca="false">COUNT(G117:P117)</f>
        <v>1</v>
      </c>
      <c r="S117" s="28" t="n">
        <f aca="false">IF(R117 &gt;= Q117,0,1)</f>
        <v>0</v>
      </c>
      <c r="T117" s="28" t="n">
        <f aca="false">IF(AND(R117 &gt; 0,Q117=0),1,0)</f>
        <v>0</v>
      </c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</row>
    <row r="118" customFormat="false" ht="11.25" hidden="false" customHeight="false" outlineLevel="0" collapsed="false">
      <c r="D118" s="28" t="s">
        <v>52</v>
      </c>
      <c r="E118" s="28" t="n">
        <v>46</v>
      </c>
      <c r="F118" s="29" t="s">
        <v>60</v>
      </c>
      <c r="G118" s="30" t="n">
        <v>2</v>
      </c>
      <c r="H118" s="30"/>
      <c r="I118" s="30"/>
      <c r="J118" s="30"/>
      <c r="K118" s="30"/>
      <c r="L118" s="30"/>
      <c r="M118" s="30"/>
      <c r="N118" s="30"/>
      <c r="O118" s="30"/>
      <c r="P118" s="30"/>
      <c r="Q118" s="28" t="n">
        <f aca="false">IF(TRIM(F118)="",0,1)</f>
        <v>1</v>
      </c>
      <c r="R118" s="28" t="n">
        <f aca="false">COUNT(G118:P118)</f>
        <v>1</v>
      </c>
      <c r="S118" s="28" t="n">
        <f aca="false">IF(R118 &gt;= Q118,0,1)</f>
        <v>0</v>
      </c>
      <c r="T118" s="28" t="n">
        <f aca="false">IF(AND(R118 &gt; 0,Q118=0),1,0)</f>
        <v>0</v>
      </c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</row>
    <row r="119" customFormat="false" ht="11.25" hidden="false" customHeight="false" outlineLevel="0" collapsed="false">
      <c r="D119" s="28" t="s">
        <v>52</v>
      </c>
      <c r="E119" s="28" t="n">
        <v>50</v>
      </c>
      <c r="F119" s="29" t="s">
        <v>60</v>
      </c>
      <c r="G119" s="30" t="n">
        <v>2</v>
      </c>
      <c r="H119" s="30"/>
      <c r="I119" s="30"/>
      <c r="J119" s="30"/>
      <c r="K119" s="30"/>
      <c r="L119" s="30"/>
      <c r="M119" s="30"/>
      <c r="N119" s="30"/>
      <c r="O119" s="30"/>
      <c r="P119" s="30"/>
      <c r="Q119" s="28" t="n">
        <f aca="false">IF(TRIM(F119)="",0,1)</f>
        <v>1</v>
      </c>
      <c r="R119" s="28" t="n">
        <f aca="false">COUNT(G119:P119)</f>
        <v>1</v>
      </c>
      <c r="S119" s="28" t="n">
        <f aca="false">IF(R119 &gt;= Q119,0,1)</f>
        <v>0</v>
      </c>
      <c r="T119" s="28" t="n">
        <f aca="false">IF(AND(R119 &gt; 0,Q119=0),1,0)</f>
        <v>0</v>
      </c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</row>
    <row r="120" customFormat="false" ht="11.25" hidden="false" customHeight="false" outlineLevel="0" collapsed="false">
      <c r="D120" s="28" t="s">
        <v>52</v>
      </c>
      <c r="E120" s="28" t="n">
        <v>81</v>
      </c>
      <c r="F120" s="29" t="s">
        <v>60</v>
      </c>
      <c r="G120" s="30" t="n">
        <v>2</v>
      </c>
      <c r="H120" s="30"/>
      <c r="I120" s="30"/>
      <c r="J120" s="30"/>
      <c r="K120" s="30"/>
      <c r="L120" s="30"/>
      <c r="M120" s="30"/>
      <c r="N120" s="30"/>
      <c r="O120" s="30"/>
      <c r="P120" s="30"/>
      <c r="Q120" s="28" t="n">
        <f aca="false">IF(TRIM(F120)="",0,1)</f>
        <v>1</v>
      </c>
      <c r="R120" s="28" t="n">
        <f aca="false">COUNT(G120:P120)</f>
        <v>1</v>
      </c>
      <c r="S120" s="28" t="n">
        <f aca="false">IF(R120 &gt;= Q120,0,1)</f>
        <v>0</v>
      </c>
      <c r="T120" s="28" t="n">
        <f aca="false">IF(AND(R120 &gt; 0,Q120=0),1,0)</f>
        <v>0</v>
      </c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</row>
    <row r="121" customFormat="false" ht="11.25" hidden="false" customHeight="false" outlineLevel="0" collapsed="false">
      <c r="D121" s="28" t="s">
        <v>52</v>
      </c>
      <c r="E121" s="28" t="n">
        <v>84</v>
      </c>
      <c r="F121" s="29" t="s">
        <v>60</v>
      </c>
      <c r="G121" s="30" t="n">
        <v>2</v>
      </c>
      <c r="H121" s="30"/>
      <c r="I121" s="30"/>
      <c r="J121" s="30"/>
      <c r="K121" s="30"/>
      <c r="L121" s="30"/>
      <c r="M121" s="30"/>
      <c r="N121" s="30"/>
      <c r="O121" s="30"/>
      <c r="P121" s="30"/>
      <c r="Q121" s="28" t="n">
        <f aca="false">IF(TRIM(F121)="",0,1)</f>
        <v>1</v>
      </c>
      <c r="R121" s="28" t="n">
        <f aca="false">COUNT(G121:P121)</f>
        <v>1</v>
      </c>
      <c r="S121" s="28" t="n">
        <f aca="false">IF(R121 &gt;= Q121,0,1)</f>
        <v>0</v>
      </c>
      <c r="T121" s="28" t="n">
        <f aca="false">IF(AND(R121 &gt; 0,Q121=0),1,0)</f>
        <v>0</v>
      </c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</row>
    <row r="122" customFormat="false" ht="11.25" hidden="false" customHeight="false" outlineLevel="0" collapsed="false">
      <c r="D122" s="28" t="s">
        <v>52</v>
      </c>
      <c r="E122" s="28" t="n">
        <v>87</v>
      </c>
      <c r="F122" s="29" t="s">
        <v>60</v>
      </c>
      <c r="G122" s="30" t="n">
        <v>2</v>
      </c>
      <c r="H122" s="30"/>
      <c r="I122" s="30"/>
      <c r="J122" s="30"/>
      <c r="K122" s="30"/>
      <c r="L122" s="30"/>
      <c r="M122" s="30"/>
      <c r="N122" s="30"/>
      <c r="O122" s="30"/>
      <c r="P122" s="30"/>
      <c r="Q122" s="28" t="n">
        <f aca="false">IF(TRIM(F122)="",0,1)</f>
        <v>1</v>
      </c>
      <c r="R122" s="28" t="n">
        <f aca="false">COUNT(G122:P122)</f>
        <v>1</v>
      </c>
      <c r="S122" s="28" t="n">
        <f aca="false">IF(R122 &gt;= Q122,0,1)</f>
        <v>0</v>
      </c>
      <c r="T122" s="28" t="n">
        <f aca="false">IF(AND(R122 &gt; 0,Q122=0),1,0)</f>
        <v>0</v>
      </c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</row>
    <row r="123" customFormat="false" ht="11.25" hidden="false" customHeight="false" outlineLevel="0" collapsed="false">
      <c r="D123" s="28" t="s">
        <v>52</v>
      </c>
      <c r="E123" s="28" t="n">
        <v>18</v>
      </c>
      <c r="F123" s="29" t="s">
        <v>61</v>
      </c>
      <c r="G123" s="30" t="n">
        <v>3</v>
      </c>
      <c r="H123" s="30"/>
      <c r="I123" s="30"/>
      <c r="J123" s="30"/>
      <c r="K123" s="30"/>
      <c r="L123" s="30"/>
      <c r="M123" s="30"/>
      <c r="N123" s="30"/>
      <c r="O123" s="30"/>
      <c r="P123" s="30"/>
      <c r="Q123" s="28" t="n">
        <f aca="false">IF(TRIM(F123)="",0,1)</f>
        <v>1</v>
      </c>
      <c r="R123" s="28" t="n">
        <f aca="false">COUNT(G123:P123)</f>
        <v>1</v>
      </c>
      <c r="S123" s="28" t="n">
        <f aca="false">IF(R123 &gt;= Q123,0,1)</f>
        <v>0</v>
      </c>
      <c r="T123" s="28" t="n">
        <f aca="false">IF(AND(R123 &gt; 0,Q123=0),1,0)</f>
        <v>0</v>
      </c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</row>
    <row r="124" customFormat="false" ht="11.25" hidden="false" customHeight="false" outlineLevel="0" collapsed="false">
      <c r="D124" s="28" t="s">
        <v>52</v>
      </c>
      <c r="E124" s="28" t="n">
        <v>31</v>
      </c>
      <c r="F124" s="29" t="s">
        <v>61</v>
      </c>
      <c r="G124" s="30" t="n">
        <v>3</v>
      </c>
      <c r="H124" s="30"/>
      <c r="I124" s="30"/>
      <c r="J124" s="30"/>
      <c r="K124" s="30"/>
      <c r="L124" s="30"/>
      <c r="M124" s="30"/>
      <c r="N124" s="30"/>
      <c r="O124" s="30"/>
      <c r="P124" s="30"/>
      <c r="Q124" s="28" t="n">
        <f aca="false">IF(TRIM(F124)="",0,1)</f>
        <v>1</v>
      </c>
      <c r="R124" s="28" t="n">
        <f aca="false">COUNT(G124:P124)</f>
        <v>1</v>
      </c>
      <c r="S124" s="28" t="n">
        <f aca="false">IF(R124 &gt;= Q124,0,1)</f>
        <v>0</v>
      </c>
      <c r="T124" s="28" t="n">
        <f aca="false">IF(AND(R124 &gt; 0,Q124=0),1,0)</f>
        <v>0</v>
      </c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</row>
    <row r="125" customFormat="false" ht="11.25" hidden="false" customHeight="false" outlineLevel="0" collapsed="false">
      <c r="D125" s="28" t="s">
        <v>52</v>
      </c>
      <c r="E125" s="28" t="n">
        <v>43</v>
      </c>
      <c r="F125" s="29" t="s">
        <v>61</v>
      </c>
      <c r="G125" s="30" t="n">
        <v>3</v>
      </c>
      <c r="H125" s="30"/>
      <c r="I125" s="30"/>
      <c r="J125" s="30"/>
      <c r="K125" s="30"/>
      <c r="L125" s="30"/>
      <c r="M125" s="30"/>
      <c r="N125" s="30"/>
      <c r="O125" s="30"/>
      <c r="P125" s="30"/>
      <c r="Q125" s="28" t="n">
        <f aca="false">IF(TRIM(F125)="",0,1)</f>
        <v>1</v>
      </c>
      <c r="R125" s="28" t="n">
        <f aca="false">COUNT(G125:P125)</f>
        <v>1</v>
      </c>
      <c r="S125" s="28" t="n">
        <f aca="false">IF(R125 &gt;= Q125,0,1)</f>
        <v>0</v>
      </c>
      <c r="T125" s="28" t="n">
        <f aca="false">IF(AND(R125 &gt; 0,Q125=0),1,0)</f>
        <v>0</v>
      </c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</row>
    <row r="126" customFormat="false" ht="11.25" hidden="false" customHeight="false" outlineLevel="0" collapsed="false">
      <c r="D126" s="28" t="s">
        <v>52</v>
      </c>
      <c r="E126" s="28" t="n">
        <v>48</v>
      </c>
      <c r="F126" s="29" t="s">
        <v>61</v>
      </c>
      <c r="G126" s="30" t="n">
        <v>3</v>
      </c>
      <c r="H126" s="30"/>
      <c r="I126" s="30"/>
      <c r="J126" s="30"/>
      <c r="K126" s="30"/>
      <c r="L126" s="30"/>
      <c r="M126" s="30"/>
      <c r="N126" s="30"/>
      <c r="O126" s="30"/>
      <c r="P126" s="30"/>
      <c r="Q126" s="28" t="n">
        <f aca="false">IF(TRIM(F126)="",0,1)</f>
        <v>1</v>
      </c>
      <c r="R126" s="28" t="n">
        <f aca="false">COUNT(G126:P126)</f>
        <v>1</v>
      </c>
      <c r="S126" s="28" t="n">
        <f aca="false">IF(R126 &gt;= Q126,0,1)</f>
        <v>0</v>
      </c>
      <c r="T126" s="28" t="n">
        <f aca="false">IF(AND(R126 &gt; 0,Q126=0),1,0)</f>
        <v>0</v>
      </c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</row>
    <row r="127" customFormat="false" ht="11.25" hidden="false" customHeight="false" outlineLevel="0" collapsed="false">
      <c r="D127" s="28" t="s">
        <v>52</v>
      </c>
      <c r="E127" s="28" t="n">
        <v>59</v>
      </c>
      <c r="F127" s="29" t="s">
        <v>61</v>
      </c>
      <c r="G127" s="30" t="n">
        <v>3</v>
      </c>
      <c r="H127" s="30"/>
      <c r="I127" s="30"/>
      <c r="J127" s="30"/>
      <c r="K127" s="30"/>
      <c r="L127" s="30"/>
      <c r="M127" s="30"/>
      <c r="N127" s="30"/>
      <c r="O127" s="30"/>
      <c r="P127" s="30"/>
      <c r="Q127" s="28" t="n">
        <f aca="false">IF(TRIM(F127)="",0,1)</f>
        <v>1</v>
      </c>
      <c r="R127" s="28" t="n">
        <f aca="false">COUNT(G127:P127)</f>
        <v>1</v>
      </c>
      <c r="S127" s="28" t="n">
        <f aca="false">IF(R127 &gt;= Q127,0,1)</f>
        <v>0</v>
      </c>
      <c r="T127" s="28" t="n">
        <f aca="false">IF(AND(R127 &gt; 0,Q127=0),1,0)</f>
        <v>0</v>
      </c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</row>
    <row r="128" customFormat="false" ht="11.25" hidden="false" customHeight="false" outlineLevel="0" collapsed="false">
      <c r="D128" s="28" t="s">
        <v>52</v>
      </c>
      <c r="E128" s="28" t="n">
        <v>60</v>
      </c>
      <c r="F128" s="29" t="s">
        <v>61</v>
      </c>
      <c r="G128" s="30" t="n">
        <v>3</v>
      </c>
      <c r="H128" s="30"/>
      <c r="I128" s="30"/>
      <c r="J128" s="30"/>
      <c r="K128" s="30"/>
      <c r="L128" s="30"/>
      <c r="M128" s="30"/>
      <c r="N128" s="30"/>
      <c r="O128" s="30"/>
      <c r="P128" s="30"/>
      <c r="Q128" s="28" t="n">
        <f aca="false">IF(TRIM(F128)="",0,1)</f>
        <v>1</v>
      </c>
      <c r="R128" s="28" t="n">
        <f aca="false">COUNT(G128:P128)</f>
        <v>1</v>
      </c>
      <c r="S128" s="28" t="n">
        <f aca="false">IF(R128 &gt;= Q128,0,1)</f>
        <v>0</v>
      </c>
      <c r="T128" s="28" t="n">
        <f aca="false">IF(AND(R128 &gt; 0,Q128=0),1,0)</f>
        <v>0</v>
      </c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</row>
    <row r="129" customFormat="false" ht="11.25" hidden="false" customHeight="false" outlineLevel="0" collapsed="false">
      <c r="D129" s="28" t="s">
        <v>52</v>
      </c>
      <c r="E129" s="28" t="n">
        <v>64</v>
      </c>
      <c r="F129" s="29" t="s">
        <v>61</v>
      </c>
      <c r="G129" s="30" t="n">
        <v>3</v>
      </c>
      <c r="H129" s="30"/>
      <c r="I129" s="30"/>
      <c r="J129" s="30"/>
      <c r="K129" s="30"/>
      <c r="L129" s="30"/>
      <c r="M129" s="30"/>
      <c r="N129" s="30"/>
      <c r="O129" s="30"/>
      <c r="P129" s="30"/>
      <c r="Q129" s="28" t="n">
        <f aca="false">IF(TRIM(F129)="",0,1)</f>
        <v>1</v>
      </c>
      <c r="R129" s="28" t="n">
        <f aca="false">COUNT(G129:P129)</f>
        <v>1</v>
      </c>
      <c r="S129" s="28" t="n">
        <f aca="false">IF(R129 &gt;= Q129,0,1)</f>
        <v>0</v>
      </c>
      <c r="T129" s="28" t="n">
        <f aca="false">IF(AND(R129 &gt; 0,Q129=0),1,0)</f>
        <v>0</v>
      </c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</row>
    <row r="130" customFormat="false" ht="11.25" hidden="false" customHeight="false" outlineLevel="0" collapsed="false">
      <c r="D130" s="28" t="s">
        <v>52</v>
      </c>
      <c r="E130" s="28" t="n">
        <v>80</v>
      </c>
      <c r="F130" s="29" t="s">
        <v>61</v>
      </c>
      <c r="G130" s="30" t="n">
        <v>3</v>
      </c>
      <c r="H130" s="30"/>
      <c r="I130" s="30"/>
      <c r="J130" s="30"/>
      <c r="K130" s="30"/>
      <c r="L130" s="30"/>
      <c r="M130" s="30"/>
      <c r="N130" s="30"/>
      <c r="O130" s="30"/>
      <c r="P130" s="30"/>
      <c r="Q130" s="28" t="n">
        <f aca="false">IF(TRIM(F130)="",0,1)</f>
        <v>1</v>
      </c>
      <c r="R130" s="28" t="n">
        <f aca="false">COUNT(G130:P130)</f>
        <v>1</v>
      </c>
      <c r="S130" s="28" t="n">
        <f aca="false">IF(R130 &gt;= Q130,0,1)</f>
        <v>0</v>
      </c>
      <c r="T130" s="28" t="n">
        <f aca="false">IF(AND(R130 &gt; 0,Q130=0),1,0)</f>
        <v>0</v>
      </c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</row>
    <row r="131" customFormat="false" ht="11.25" hidden="false" customHeight="false" outlineLevel="0" collapsed="false">
      <c r="D131" s="28" t="s">
        <v>52</v>
      </c>
      <c r="E131" s="28" t="n">
        <v>92</v>
      </c>
      <c r="F131" s="29" t="s">
        <v>61</v>
      </c>
      <c r="G131" s="30" t="n">
        <v>3</v>
      </c>
      <c r="H131" s="30"/>
      <c r="I131" s="30"/>
      <c r="J131" s="30"/>
      <c r="K131" s="30"/>
      <c r="L131" s="30"/>
      <c r="M131" s="30"/>
      <c r="N131" s="30"/>
      <c r="O131" s="30"/>
      <c r="P131" s="30"/>
      <c r="Q131" s="28" t="n">
        <f aca="false">IF(TRIM(F131)="",0,1)</f>
        <v>1</v>
      </c>
      <c r="R131" s="28" t="n">
        <f aca="false">COUNT(G131:P131)</f>
        <v>1</v>
      </c>
      <c r="S131" s="28" t="n">
        <f aca="false">IF(R131 &gt;= Q131,0,1)</f>
        <v>0</v>
      </c>
      <c r="T131" s="28" t="n">
        <f aca="false">IF(AND(R131 &gt; 0,Q131=0),1,0)</f>
        <v>0</v>
      </c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</row>
    <row r="132" customFormat="false" ht="11.25" hidden="false" customHeight="false" outlineLevel="0" collapsed="false">
      <c r="D132" s="28" t="s">
        <v>52</v>
      </c>
      <c r="E132" s="28" t="n">
        <v>95</v>
      </c>
      <c r="F132" s="29" t="s">
        <v>61</v>
      </c>
      <c r="G132" s="30" t="n">
        <v>3</v>
      </c>
      <c r="H132" s="30"/>
      <c r="I132" s="30"/>
      <c r="J132" s="30"/>
      <c r="K132" s="30"/>
      <c r="L132" s="30"/>
      <c r="M132" s="30"/>
      <c r="N132" s="30"/>
      <c r="O132" s="30"/>
      <c r="P132" s="30"/>
      <c r="Q132" s="28" t="n">
        <f aca="false">IF(TRIM(F132)="",0,1)</f>
        <v>1</v>
      </c>
      <c r="R132" s="28" t="n">
        <f aca="false">COUNT(G132:P132)</f>
        <v>1</v>
      </c>
      <c r="S132" s="28" t="n">
        <f aca="false">IF(R132 &gt;= Q132,0,1)</f>
        <v>0</v>
      </c>
      <c r="T132" s="28" t="n">
        <f aca="false">IF(AND(R132 &gt; 0,Q132=0),1,0)</f>
        <v>0</v>
      </c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</row>
    <row r="133" customFormat="false" ht="12.8" hidden="false" customHeight="false" outlineLevel="0" collapsed="false">
      <c r="D133" s="6" t="s">
        <v>113</v>
      </c>
      <c r="E133" s="6" t="n">
        <v>1</v>
      </c>
      <c r="G133" s="6" t="n">
        <v>1</v>
      </c>
      <c r="H133" s="6" t="n">
        <v>1</v>
      </c>
    </row>
    <row r="134" customFormat="false" ht="12.8" hidden="false" customHeight="false" outlineLevel="0" collapsed="false">
      <c r="D134" s="6" t="s">
        <v>113</v>
      </c>
      <c r="E134" s="6" t="n">
        <v>9999999</v>
      </c>
      <c r="F134" s="31" t="s">
        <v>114</v>
      </c>
    </row>
  </sheetData>
  <autoFilter ref="D32:BD132"/>
  <mergeCells count="2">
    <mergeCell ref="H11:J14"/>
    <mergeCell ref="H17:J30"/>
  </mergeCells>
  <conditionalFormatting sqref="H17">
    <cfRule type="cellIs" priority="2" operator="notEqual" aboveAverage="0" equalAverage="0" bottom="0" percent="0" rank="0" text="" dxfId="4">
      <formula>""</formula>
    </cfRule>
  </conditionalFormatting>
  <conditionalFormatting sqref="H11:J14">
    <cfRule type="expression" priority="3" aboveAverage="0" equalAverage="0" bottom="0" percent="0" rank="0" text="" dxfId="5">
      <formula>H6=H7</formula>
    </cfRule>
  </conditionalFormatting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13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32" topLeftCell="A33" activePane="bottomLeft" state="frozen"/>
      <selection pane="topLeft" activeCell="D1" activeCellId="0" sqref="D1"/>
      <selection pane="bottomLeft" activeCell="H32" activeCellId="0" sqref="H32"/>
    </sheetView>
  </sheetViews>
  <sheetFormatPr defaultColWidth="11.43359375" defaultRowHeight="11.25" zeroHeight="false" outlineLevelRow="0" outlineLevelCol="0"/>
  <cols>
    <col collapsed="false" customWidth="true" hidden="true" outlineLevel="0" max="3" min="1" style="6" width="11.52"/>
    <col collapsed="false" customWidth="true" hidden="false" outlineLevel="0" max="4" min="4" style="6" width="5.7"/>
    <col collapsed="false" customWidth="true" hidden="false" outlineLevel="0" max="5" min="5" style="6" width="6.71"/>
    <col collapsed="false" customWidth="true" hidden="false" outlineLevel="0" max="6" min="6" style="6" width="45.71"/>
    <col collapsed="false" customWidth="true" hidden="false" outlineLevel="0" max="20" min="7" style="6" width="7.71"/>
    <col collapsed="false" customWidth="true" hidden="true" outlineLevel="0" max="56" min="21" style="6" width="11.52"/>
    <col collapsed="false" customWidth="false" hidden="false" outlineLevel="0" max="1024" min="57" style="6" width="11.42"/>
  </cols>
  <sheetData>
    <row r="1" customFormat="false" ht="12" hidden="false" customHeight="true" outlineLevel="0" collapsed="false">
      <c r="A1" s="6" t="n">
        <v>1</v>
      </c>
      <c r="B1" s="6" t="str">
        <f aca="false">Codestufen!E2</f>
        <v>love</v>
      </c>
      <c r="C1" s="6" t="n">
        <f aca="false">COUNTIF(V_W_q6mcg_Zuord,A1)</f>
        <v>31</v>
      </c>
      <c r="D1" s="7" t="s">
        <v>115</v>
      </c>
      <c r="E1" s="8"/>
      <c r="F1" s="9"/>
      <c r="G1" s="8"/>
      <c r="H1" s="10"/>
      <c r="I1" s="8"/>
      <c r="J1" s="8"/>
    </row>
    <row r="2" customFormat="false" ht="3" hidden="false" customHeight="true" outlineLevel="0" collapsed="false">
      <c r="A2" s="11" t="n">
        <v>2</v>
      </c>
      <c r="B2" s="6" t="str">
        <f aca="false">Codestufen!E3</f>
        <v>joy</v>
      </c>
      <c r="C2" s="6" t="n">
        <f aca="false">COUNTIF(V_W_q6mcg_Zuord,A2)</f>
        <v>41</v>
      </c>
      <c r="D2" s="8"/>
      <c r="E2" s="8"/>
      <c r="F2" s="9"/>
      <c r="G2" s="8"/>
      <c r="H2" s="8"/>
      <c r="I2" s="8"/>
      <c r="J2" s="8"/>
    </row>
    <row r="3" customFormat="false" ht="11.25" hidden="false" customHeight="false" outlineLevel="0" collapsed="false">
      <c r="A3" s="6" t="n">
        <v>3</v>
      </c>
      <c r="B3" s="6" t="str">
        <f aca="false">Codestufen!E4</f>
        <v>happiness</v>
      </c>
      <c r="C3" s="6" t="n">
        <f aca="false">COUNTIF(V_W_q6mcg_Zuord,A3)</f>
        <v>28</v>
      </c>
      <c r="D3" s="12" t="n">
        <v>4</v>
      </c>
      <c r="E3" s="13" t="s">
        <v>13</v>
      </c>
      <c r="F3" s="13" t="s">
        <v>14</v>
      </c>
      <c r="G3" s="14" t="s">
        <v>15</v>
      </c>
      <c r="H3" s="15" t="s">
        <v>16</v>
      </c>
      <c r="I3" s="15"/>
      <c r="J3" s="16"/>
    </row>
    <row r="4" customFormat="false" ht="8.25" hidden="false" customHeight="true" outlineLevel="0" collapsed="false">
      <c r="A4" s="6" t="n">
        <v>4</v>
      </c>
      <c r="B4" s="6" t="str">
        <f aca="false">Codestufen!E5</f>
        <v>noch wat</v>
      </c>
      <c r="C4" s="6" t="n">
        <f aca="false">COUNTIF(V_W_q6mcg_Zuord,A4)</f>
        <v>3</v>
      </c>
      <c r="D4" s="17"/>
      <c r="E4" s="17"/>
      <c r="F4" s="17" t="str">
        <f aca="false">"Zuordnungen &lt; "&amp;E5</f>
        <v>Zuordnungen &lt; 1</v>
      </c>
      <c r="G4" s="17" t="n">
        <f aca="false">COUNTIF(V_W_q6mcg_Zuord,"&lt;"&amp;E5)</f>
        <v>0</v>
      </c>
      <c r="H4" s="16" t="n">
        <f aca="false">COUNTA(V_W_q6mcg_Datensaetze)/H5</f>
        <v>100</v>
      </c>
      <c r="I4" s="16" t="s">
        <v>17</v>
      </c>
      <c r="J4" s="16"/>
    </row>
    <row r="5" customFormat="false" ht="8.25" hidden="false" customHeight="true" outlineLevel="0" collapsed="false">
      <c r="A5" s="6" t="n">
        <v>5</v>
      </c>
      <c r="B5" s="6" t="n">
        <f aca="false">Codestufen!E6</f>
        <v>0</v>
      </c>
      <c r="C5" s="6" t="n">
        <f aca="false">COUNTIF(V_W_q6mcg_Zuord,A5)</f>
        <v>0</v>
      </c>
      <c r="D5" s="18" t="s">
        <v>18</v>
      </c>
      <c r="E5" s="18" t="n">
        <f aca="false">(4-D3)*20+1</f>
        <v>1</v>
      </c>
      <c r="F5" s="19" t="str">
        <f aca="false">HYPERLINK("#Codestufen!"&amp;ADDRESS(E5+1,D$6),IF(INDEX(V_W_q6mcg_CodestufenName,E5)=0,"",INDEX(V_W_q6mcg_CodestufenName,E5)))</f>
        <v>love</v>
      </c>
      <c r="G5" s="18" t="n">
        <f aca="false">INDEX(V_W_q6mcg_Codestufen,E5)</f>
        <v>31</v>
      </c>
      <c r="H5" s="16" t="n">
        <v>1</v>
      </c>
      <c r="I5" s="16" t="s">
        <v>19</v>
      </c>
      <c r="J5" s="16"/>
    </row>
    <row r="6" customFormat="false" ht="8.25" hidden="false" customHeight="true" outlineLevel="0" collapsed="false">
      <c r="A6" s="6" t="n">
        <v>6</v>
      </c>
      <c r="B6" s="6" t="n">
        <f aca="false">Codestufen!E7</f>
        <v>0</v>
      </c>
      <c r="C6" s="6" t="n">
        <f aca="false">COUNTIF(V_W_q6mcg_Zuord,A6)</f>
        <v>0</v>
      </c>
      <c r="D6" s="18" t="n">
        <v>5</v>
      </c>
      <c r="E6" s="18" t="n">
        <f aca="false">E5+1</f>
        <v>2</v>
      </c>
      <c r="F6" s="19" t="str">
        <f aca="false">HYPERLINK("#Codestufen!"&amp;ADDRESS(E6+1,D$6),IF(INDEX(V_W_q6mcg_CodestufenName,E6)=0,"",INDEX(V_W_q6mcg_CodestufenName,E6)))</f>
        <v>joy</v>
      </c>
      <c r="G6" s="18" t="n">
        <f aca="false">INDEX(V_W_q6mcg_Codestufen,E6)</f>
        <v>41</v>
      </c>
      <c r="H6" s="16" t="n">
        <f aca="false">SUM(V_W_q6mcg_Verbatims)</f>
        <v>100</v>
      </c>
      <c r="I6" s="16" t="s">
        <v>20</v>
      </c>
      <c r="J6" s="16"/>
    </row>
    <row r="7" customFormat="false" ht="8.25" hidden="false" customHeight="true" outlineLevel="0" collapsed="false">
      <c r="A7" s="6" t="n">
        <v>7</v>
      </c>
      <c r="B7" s="6" t="n">
        <f aca="false">Codestufen!E8</f>
        <v>0</v>
      </c>
      <c r="C7" s="6" t="n">
        <f aca="false">COUNTIF(V_W_q6mcg_Zuord,A7)</f>
        <v>0</v>
      </c>
      <c r="D7" s="18" t="s">
        <v>17</v>
      </c>
      <c r="E7" s="18" t="n">
        <f aca="false">E6+1</f>
        <v>3</v>
      </c>
      <c r="F7" s="19" t="str">
        <f aca="false">HYPERLINK("#Codestufen!"&amp;ADDRESS(E7+1,D$6),IF(INDEX(V_W_q6mcg_CodestufenName,E7)=0,"",INDEX(V_W_q6mcg_CodestufenName,E7)))</f>
        <v>happiness</v>
      </c>
      <c r="G7" s="18" t="n">
        <f aca="false">INDEX(V_W_q6mcg_Codestufen,E7)</f>
        <v>28</v>
      </c>
      <c r="H7" s="16" t="n">
        <f aca="false">COUNTIF(V_W_q6mcg_AnzZuord,"&gt;0")</f>
        <v>100</v>
      </c>
      <c r="I7" s="16" t="s">
        <v>21</v>
      </c>
      <c r="J7" s="16"/>
    </row>
    <row r="8" customFormat="false" ht="8.25" hidden="false" customHeight="true" outlineLevel="0" collapsed="false">
      <c r="A8" s="6" t="n">
        <v>8</v>
      </c>
      <c r="B8" s="6" t="n">
        <f aca="false">Codestufen!E9</f>
        <v>0</v>
      </c>
      <c r="C8" s="6" t="n">
        <f aca="false">COUNTIF(V_W_q6mcg_Zuord,A8)</f>
        <v>0</v>
      </c>
      <c r="D8" s="18" t="str">
        <f aca="false">"D33:D"&amp;D24</f>
        <v>D33:D132</v>
      </c>
      <c r="E8" s="18" t="n">
        <f aca="false">E7+1</f>
        <v>4</v>
      </c>
      <c r="F8" s="19" t="str">
        <f aca="false">HYPERLINK("#Codestufen!"&amp;ADDRESS(E8+1,D$6),IF(INDEX(V_W_q6mcg_CodestufenName,E8)=0,"",INDEX(V_W_q6mcg_CodestufenName,E8)))</f>
        <v>noch wat</v>
      </c>
      <c r="G8" s="18" t="n">
        <f aca="false">INDEX(V_W_q6mcg_Codestufen,E8)</f>
        <v>3</v>
      </c>
      <c r="H8" s="16" t="n">
        <f aca="false">SUM(V_W_q6mcg_AnzZuord)</f>
        <v>103</v>
      </c>
      <c r="I8" s="16" t="s">
        <v>22</v>
      </c>
      <c r="J8" s="16"/>
    </row>
    <row r="9" customFormat="false" ht="8.25" hidden="false" customHeight="true" outlineLevel="0" collapsed="false">
      <c r="A9" s="6" t="n">
        <v>9</v>
      </c>
      <c r="B9" s="6" t="n">
        <f aca="false">Codestufen!E10</f>
        <v>0</v>
      </c>
      <c r="C9" s="6" t="n">
        <f aca="false">COUNTIF(V_W_q6mcg_Zuord,A9)</f>
        <v>0</v>
      </c>
      <c r="D9" s="18" t="s">
        <v>20</v>
      </c>
      <c r="E9" s="18" t="n">
        <f aca="false">E8+1</f>
        <v>5</v>
      </c>
      <c r="F9" s="19" t="str">
        <f aca="false">HYPERLINK("#Codestufen!"&amp;ADDRESS(E9+1,D$6),IF(INDEX(V_W_q6mcg_CodestufenName,E9)=0,"",INDEX(V_W_q6mcg_CodestufenName,E9)))</f>
        <v/>
      </c>
      <c r="G9" s="18" t="n">
        <f aca="false">INDEX(V_W_q6mcg_Codestufen,E9)</f>
        <v>0</v>
      </c>
      <c r="H9" s="16"/>
      <c r="I9" s="16"/>
      <c r="J9" s="16"/>
    </row>
    <row r="10" customFormat="false" ht="8.25" hidden="false" customHeight="true" outlineLevel="0" collapsed="false">
      <c r="A10" s="6" t="n">
        <v>10</v>
      </c>
      <c r="B10" s="6" t="n">
        <f aca="false">Codestufen!E11</f>
        <v>0</v>
      </c>
      <c r="C10" s="6" t="n">
        <f aca="false">COUNTIF(V_W_q6mcg_Zuord,A10)</f>
        <v>0</v>
      </c>
      <c r="D10" s="18" t="str">
        <f aca="false">"Q33:Q"&amp;D24</f>
        <v>Q33:Q132</v>
      </c>
      <c r="E10" s="18" t="n">
        <f aca="false">E9+1</f>
        <v>6</v>
      </c>
      <c r="F10" s="19" t="str">
        <f aca="false">HYPERLINK("#Codestufen!"&amp;ADDRESS(E10+1,D$6),IF(INDEX(V_W_q6mcg_CodestufenName,E10)=0,"",INDEX(V_W_q6mcg_CodestufenName,E10)))</f>
        <v/>
      </c>
      <c r="G10" s="18" t="n">
        <f aca="false">INDEX(V_W_q6mcg_Codestufen,E10)</f>
        <v>0</v>
      </c>
      <c r="H10" s="15" t="s">
        <v>23</v>
      </c>
      <c r="I10" s="16"/>
      <c r="J10" s="16"/>
    </row>
    <row r="11" customFormat="false" ht="8.25" hidden="false" customHeight="true" outlineLevel="0" collapsed="false">
      <c r="A11" s="6" t="n">
        <v>11</v>
      </c>
      <c r="B11" s="6" t="n">
        <f aca="false">Codestufen!E12</f>
        <v>0</v>
      </c>
      <c r="C11" s="6" t="n">
        <f aca="false">COUNTIF(V_W_q6mcg_Zuord,A11)</f>
        <v>0</v>
      </c>
      <c r="D11" s="18" t="s">
        <v>21</v>
      </c>
      <c r="E11" s="18" t="n">
        <f aca="false">E10+1</f>
        <v>7</v>
      </c>
      <c r="F11" s="19" t="str">
        <f aca="false">HYPERLINK("#Codestufen!"&amp;ADDRESS(E11+1,D$6),IF(INDEX(V_W_q6mcg_CodestufenName,E11)=0,"",INDEX(V_W_q6mcg_CodestufenName,E11)))</f>
        <v/>
      </c>
      <c r="G11" s="18" t="n">
        <f aca="false">INDEX(V_W_q6mcg_Codestufen,E11)</f>
        <v>0</v>
      </c>
      <c r="H11" s="20" t="str">
        <f aca="false">H6-H7&amp;" Verbatims sind noch zuzuordnen"</f>
        <v>0 Verbatims sind noch zuzuordnen</v>
      </c>
      <c r="I11" s="20"/>
      <c r="J11" s="20"/>
    </row>
    <row r="12" customFormat="false" ht="8.25" hidden="false" customHeight="true" outlineLevel="0" collapsed="false">
      <c r="A12" s="6" t="n">
        <v>12</v>
      </c>
      <c r="B12" s="6" t="n">
        <f aca="false">Codestufen!E13</f>
        <v>0</v>
      </c>
      <c r="C12" s="6" t="n">
        <f aca="false">COUNTIF(V_W_q6mcg_Zuord,A12)</f>
        <v>0</v>
      </c>
      <c r="D12" s="18" t="str">
        <f aca="false">"G33:P"&amp;D24</f>
        <v>G33:P132</v>
      </c>
      <c r="E12" s="18" t="n">
        <f aca="false">E11+1</f>
        <v>8</v>
      </c>
      <c r="F12" s="19" t="str">
        <f aca="false">HYPERLINK("#Codestufen!"&amp;ADDRESS(E12+1,D$6),IF(INDEX(V_W_q6mcg_CodestufenName,E12)=0,"",INDEX(V_W_q6mcg_CodestufenName,E12)))</f>
        <v/>
      </c>
      <c r="G12" s="18" t="n">
        <f aca="false">INDEX(V_W_q6mcg_Codestufen,E12)</f>
        <v>0</v>
      </c>
      <c r="H12" s="20"/>
      <c r="I12" s="20"/>
      <c r="J12" s="20"/>
    </row>
    <row r="13" customFormat="false" ht="8.25" hidden="false" customHeight="true" outlineLevel="0" collapsed="false">
      <c r="A13" s="6" t="n">
        <v>13</v>
      </c>
      <c r="B13" s="6" t="n">
        <f aca="false">Codestufen!E14</f>
        <v>0</v>
      </c>
      <c r="C13" s="6" t="n">
        <f aca="false">COUNTIF(V_W_q6mcg_Zuord,A13)</f>
        <v>0</v>
      </c>
      <c r="D13" s="18" t="s">
        <v>24</v>
      </c>
      <c r="E13" s="18" t="n">
        <f aca="false">E12+1</f>
        <v>9</v>
      </c>
      <c r="F13" s="19" t="str">
        <f aca="false">HYPERLINK("#Codestufen!"&amp;ADDRESS(E13+1,D$6),IF(INDEX(V_W_q6mcg_CodestufenName,E13)=0,"",INDEX(V_W_q6mcg_CodestufenName,E13)))</f>
        <v/>
      </c>
      <c r="G13" s="18" t="n">
        <f aca="false">INDEX(V_W_q6mcg_Codestufen,E13)</f>
        <v>0</v>
      </c>
      <c r="H13" s="20"/>
      <c r="I13" s="20"/>
      <c r="J13" s="20"/>
    </row>
    <row r="14" customFormat="false" ht="8.25" hidden="false" customHeight="true" outlineLevel="0" collapsed="false">
      <c r="A14" s="6" t="n">
        <v>14</v>
      </c>
      <c r="B14" s="6" t="n">
        <f aca="false">Codestufen!E15</f>
        <v>0</v>
      </c>
      <c r="C14" s="6" t="n">
        <f aca="false">COUNTIF(V_W_q6mcg_Zuord,A14)</f>
        <v>0</v>
      </c>
      <c r="D14" s="18" t="str">
        <f aca="false">"R33:R"&amp;D24</f>
        <v>R33:R132</v>
      </c>
      <c r="E14" s="18" t="n">
        <f aca="false">E13+1</f>
        <v>10</v>
      </c>
      <c r="F14" s="19" t="str">
        <f aca="false">HYPERLINK("#Codestufen!"&amp;ADDRESS(E14+1,D$6),IF(INDEX(V_W_q6mcg_CodestufenName,E14)=0,"",INDEX(V_W_q6mcg_CodestufenName,E14)))</f>
        <v/>
      </c>
      <c r="G14" s="18" t="n">
        <f aca="false">INDEX(V_W_q6mcg_Codestufen,E14)</f>
        <v>0</v>
      </c>
      <c r="H14" s="20"/>
      <c r="I14" s="20"/>
      <c r="J14" s="20"/>
    </row>
    <row r="15" customFormat="false" ht="8.25" hidden="false" customHeight="true" outlineLevel="0" collapsed="false">
      <c r="A15" s="6" t="n">
        <v>15</v>
      </c>
      <c r="B15" s="6" t="n">
        <f aca="false">Codestufen!E16</f>
        <v>0</v>
      </c>
      <c r="C15" s="6" t="n">
        <f aca="false">COUNTIF(V_W_q6mcg_Zuord,A15)</f>
        <v>0</v>
      </c>
      <c r="D15" s="18" t="s">
        <v>25</v>
      </c>
      <c r="E15" s="18" t="n">
        <f aca="false">E14+1</f>
        <v>11</v>
      </c>
      <c r="F15" s="19" t="str">
        <f aca="false">HYPERLINK("#Codestufen!"&amp;ADDRESS(E15+1,D$6),IF(INDEX(V_W_q6mcg_CodestufenName,E15)=0,"",INDEX(V_W_q6mcg_CodestufenName,E15)))</f>
        <v/>
      </c>
      <c r="G15" s="18" t="n">
        <f aca="false">INDEX(V_W_q6mcg_Codestufen,E15)</f>
        <v>0</v>
      </c>
    </row>
    <row r="16" customFormat="false" ht="8.25" hidden="false" customHeight="true" outlineLevel="0" collapsed="false">
      <c r="A16" s="6" t="n">
        <v>16</v>
      </c>
      <c r="B16" s="6" t="n">
        <f aca="false">Codestufen!E17</f>
        <v>0</v>
      </c>
      <c r="C16" s="6" t="n">
        <f aca="false">COUNTIF(V_W_q6mcg_Zuord,A16)</f>
        <v>0</v>
      </c>
      <c r="D16" s="18" t="str">
        <f aca="false">"S33:S"&amp;D24</f>
        <v>S33:S132</v>
      </c>
      <c r="E16" s="18" t="n">
        <f aca="false">E15+1</f>
        <v>12</v>
      </c>
      <c r="F16" s="19" t="str">
        <f aca="false">HYPERLINK("#Codestufen!"&amp;ADDRESS(E16+1,D$6),IF(INDEX(V_W_q6mcg_CodestufenName,E16)=0,"",INDEX(V_W_q6mcg_CodestufenName,E16)))</f>
        <v/>
      </c>
      <c r="G16" s="18" t="n">
        <f aca="false">INDEX(V_W_q6mcg_Codestufen,E16)</f>
        <v>0</v>
      </c>
      <c r="H16" s="15"/>
      <c r="I16" s="21"/>
      <c r="J16" s="21"/>
    </row>
    <row r="17" customFormat="false" ht="8.25" hidden="false" customHeight="true" outlineLevel="0" collapsed="false">
      <c r="A17" s="6" t="n">
        <v>17</v>
      </c>
      <c r="B17" s="6" t="n">
        <f aca="false">Codestufen!E18</f>
        <v>0</v>
      </c>
      <c r="C17" s="6" t="n">
        <f aca="false">COUNTIF(V_W_q6mcg_Zuord,A17)</f>
        <v>0</v>
      </c>
      <c r="D17" s="18" t="s">
        <v>26</v>
      </c>
      <c r="E17" s="18" t="n">
        <f aca="false">E16+1</f>
        <v>13</v>
      </c>
      <c r="F17" s="19" t="str">
        <f aca="false">HYPERLINK("#Codestufen!"&amp;ADDRESS(E17+1,D$6),IF(INDEX(V_W_q6mcg_CodestufenName,E17)=0,"",INDEX(V_W_q6mcg_CodestufenName,E17)))</f>
        <v/>
      </c>
      <c r="G17" s="18" t="n">
        <f aca="false">INDEX(V_W_q6mcg_Codestufen,E17)</f>
        <v>0</v>
      </c>
      <c r="H17" s="22" t="str">
        <f aca="false">IF(SUM(V_W_q6mcg_Codestufen)&lt;&gt;SUMIF(V_W_q6mcg_CodestufenName,"&lt;&gt;0",V_W_q6mcg_Codestufen),"Es gibt Nennungen, die keinem Code zugeordnet werden können.","")&amp;IF(SUM(V_W_q6mcg_AnzZuordOVerb)&gt;0,"Es gibt Zuordnungen bei nicht vorhandenen Verbatims.","")</f>
        <v/>
      </c>
      <c r="I17" s="22"/>
      <c r="J17" s="22"/>
    </row>
    <row r="18" customFormat="false" ht="8.25" hidden="false" customHeight="true" outlineLevel="0" collapsed="false">
      <c r="A18" s="6" t="n">
        <v>18</v>
      </c>
      <c r="B18" s="6" t="n">
        <f aca="false">Codestufen!E19</f>
        <v>0</v>
      </c>
      <c r="C18" s="6" t="n">
        <f aca="false">COUNTIF(V_W_q6mcg_Zuord,A18)</f>
        <v>0</v>
      </c>
      <c r="D18" s="18" t="str">
        <f aca="false">"T33:T"&amp;D24</f>
        <v>T33:T132</v>
      </c>
      <c r="E18" s="18" t="n">
        <f aca="false">E17+1</f>
        <v>14</v>
      </c>
      <c r="F18" s="19" t="str">
        <f aca="false">HYPERLINK("#Codestufen!"&amp;ADDRESS(E18+1,D$6),IF(INDEX(V_W_q6mcg_CodestufenName,E18)=0,"",INDEX(V_W_q6mcg_CodestufenName,E18)))</f>
        <v/>
      </c>
      <c r="G18" s="18" t="n">
        <f aca="false">INDEX(V_W_q6mcg_Codestufen,E18)</f>
        <v>0</v>
      </c>
      <c r="H18" s="22"/>
      <c r="I18" s="22"/>
      <c r="J18" s="22"/>
    </row>
    <row r="19" customFormat="false" ht="8.25" hidden="false" customHeight="true" outlineLevel="0" collapsed="false">
      <c r="A19" s="6" t="n">
        <v>19</v>
      </c>
      <c r="B19" s="6" t="n">
        <f aca="false">Codestufen!E20</f>
        <v>0</v>
      </c>
      <c r="C19" s="6" t="n">
        <f aca="false">COUNTIF(V_W_q6mcg_Zuord,A19)</f>
        <v>0</v>
      </c>
      <c r="D19" s="18" t="s">
        <v>27</v>
      </c>
      <c r="E19" s="18" t="n">
        <f aca="false">E18+1</f>
        <v>15</v>
      </c>
      <c r="F19" s="19" t="str">
        <f aca="false">HYPERLINK("#Codestufen!"&amp;ADDRESS(E19+1,D$6),IF(INDEX(V_W_q6mcg_CodestufenName,E19)=0,"",INDEX(V_W_q6mcg_CodestufenName,E19)))</f>
        <v/>
      </c>
      <c r="G19" s="18" t="n">
        <f aca="false">INDEX(V_W_q6mcg_Codestufen,E19)</f>
        <v>0</v>
      </c>
      <c r="H19" s="22"/>
      <c r="I19" s="22"/>
      <c r="J19" s="22"/>
    </row>
    <row r="20" customFormat="false" ht="8.25" hidden="false" customHeight="true" outlineLevel="0" collapsed="false">
      <c r="A20" s="6" t="n">
        <v>20</v>
      </c>
      <c r="B20" s="6" t="n">
        <f aca="false">Codestufen!E21</f>
        <v>0</v>
      </c>
      <c r="C20" s="6" t="n">
        <f aca="false">COUNTIF(V_W_q6mcg_Zuord,A20)</f>
        <v>0</v>
      </c>
      <c r="D20" s="18" t="s">
        <v>28</v>
      </c>
      <c r="E20" s="18" t="n">
        <f aca="false">E19+1</f>
        <v>16</v>
      </c>
      <c r="F20" s="19" t="str">
        <f aca="false">HYPERLINK("#Codestufen!"&amp;ADDRESS(E20+1,D$6),IF(INDEX(V_W_q6mcg_CodestufenName,E20)=0,"",INDEX(V_W_q6mcg_CodestufenName,E20)))</f>
        <v/>
      </c>
      <c r="G20" s="18" t="n">
        <f aca="false">INDEX(V_W_q6mcg_Codestufen,E20)</f>
        <v>0</v>
      </c>
      <c r="H20" s="22"/>
      <c r="I20" s="22"/>
      <c r="J20" s="22"/>
    </row>
    <row r="21" customFormat="false" ht="8.25" hidden="false" customHeight="true" outlineLevel="0" collapsed="false">
      <c r="A21" s="6" t="n">
        <v>21</v>
      </c>
      <c r="B21" s="6" t="n">
        <f aca="false">Codestufen!E22</f>
        <v>0</v>
      </c>
      <c r="C21" s="6" t="n">
        <f aca="false">COUNTIF(V_W_q6mcg_Zuord,A21)</f>
        <v>0</v>
      </c>
      <c r="D21" s="18" t="s">
        <v>29</v>
      </c>
      <c r="E21" s="18" t="n">
        <f aca="false">E20+1</f>
        <v>17</v>
      </c>
      <c r="F21" s="19" t="str">
        <f aca="false">HYPERLINK("#Codestufen!"&amp;ADDRESS(E21+1,D$6),IF(INDEX(V_W_q6mcg_CodestufenName,E21)=0,"",INDEX(V_W_q6mcg_CodestufenName,E21)))</f>
        <v/>
      </c>
      <c r="G21" s="18" t="n">
        <f aca="false">INDEX(V_W_q6mcg_Codestufen,E21)</f>
        <v>0</v>
      </c>
      <c r="H21" s="22"/>
      <c r="I21" s="22"/>
      <c r="J21" s="22"/>
    </row>
    <row r="22" customFormat="false" ht="8.25" hidden="false" customHeight="true" outlineLevel="0" collapsed="false">
      <c r="A22" s="6" t="n">
        <v>22</v>
      </c>
      <c r="B22" s="6" t="n">
        <f aca="false">Codestufen!E23</f>
        <v>0</v>
      </c>
      <c r="C22" s="6" t="n">
        <f aca="false">COUNTIF(V_W_q6mcg_Zuord,A22)</f>
        <v>0</v>
      </c>
      <c r="D22" s="18" t="s">
        <v>30</v>
      </c>
      <c r="E22" s="18" t="n">
        <f aca="false">E21+1</f>
        <v>18</v>
      </c>
      <c r="F22" s="19" t="str">
        <f aca="false">HYPERLINK("#Codestufen!"&amp;ADDRESS(E22+1,D$6),IF(INDEX(V_W_q6mcg_CodestufenName,E22)=0,"",INDEX(V_W_q6mcg_CodestufenName,E22)))</f>
        <v/>
      </c>
      <c r="G22" s="18" t="n">
        <f aca="false">INDEX(V_W_q6mcg_Codestufen,E22)</f>
        <v>0</v>
      </c>
      <c r="H22" s="22"/>
      <c r="I22" s="22"/>
      <c r="J22" s="22"/>
    </row>
    <row r="23" customFormat="false" ht="8.25" hidden="false" customHeight="true" outlineLevel="0" collapsed="false">
      <c r="A23" s="6" t="n">
        <v>23</v>
      </c>
      <c r="B23" s="6" t="n">
        <f aca="false">Codestufen!E24</f>
        <v>0</v>
      </c>
      <c r="C23" s="6" t="n">
        <f aca="false">COUNTIF(V_W_q6mcg_Zuord,A23)</f>
        <v>0</v>
      </c>
      <c r="D23" s="18" t="s">
        <v>31</v>
      </c>
      <c r="E23" s="18" t="n">
        <f aca="false">E22+1</f>
        <v>19</v>
      </c>
      <c r="F23" s="19" t="str">
        <f aca="false">HYPERLINK("#Codestufen!"&amp;ADDRESS(E23+1,D$6),IF(INDEX(V_W_q6mcg_CodestufenName,E23)=0,"",INDEX(V_W_q6mcg_CodestufenName,E23)))</f>
        <v/>
      </c>
      <c r="G23" s="18" t="n">
        <f aca="false">INDEX(V_W_q6mcg_Codestufen,E23)</f>
        <v>0</v>
      </c>
      <c r="H23" s="22"/>
      <c r="I23" s="22"/>
      <c r="J23" s="22"/>
    </row>
    <row r="24" customFormat="false" ht="8.25" hidden="false" customHeight="true" outlineLevel="0" collapsed="false">
      <c r="A24" s="6" t="n">
        <v>24</v>
      </c>
      <c r="B24" s="6" t="n">
        <f aca="false">Codestufen!E25</f>
        <v>0</v>
      </c>
      <c r="C24" s="6" t="n">
        <f aca="false">COUNTIF(V_W_q6mcg_Zuord,A24)</f>
        <v>0</v>
      </c>
      <c r="D24" s="18" t="n">
        <v>132</v>
      </c>
      <c r="E24" s="18" t="n">
        <f aca="false">E23+1</f>
        <v>20</v>
      </c>
      <c r="F24" s="19" t="str">
        <f aca="false">HYPERLINK("#Codestufen!"&amp;ADDRESS(E24+1,D$6),IF(INDEX(V_W_q6mcg_CodestufenName,E24)=0,"",INDEX(V_W_q6mcg_CodestufenName,E24)))</f>
        <v/>
      </c>
      <c r="G24" s="18" t="n">
        <f aca="false">INDEX(V_W_q6mcg_Codestufen,E24)</f>
        <v>0</v>
      </c>
      <c r="H24" s="22"/>
      <c r="I24" s="22"/>
      <c r="J24" s="22"/>
    </row>
    <row r="25" customFormat="false" ht="8.25" hidden="false" customHeight="true" outlineLevel="0" collapsed="false">
      <c r="A25" s="6" t="n">
        <v>25</v>
      </c>
      <c r="B25" s="6" t="n">
        <f aca="false">Codestufen!E26</f>
        <v>0</v>
      </c>
      <c r="C25" s="6" t="n">
        <f aca="false">COUNTIF(V_W_q6mcg_Zuord,A25)</f>
        <v>0</v>
      </c>
      <c r="D25" s="17"/>
      <c r="E25" s="17"/>
      <c r="F25" s="17" t="str">
        <f aca="false">"Zuordnungen &gt; " &amp;E24&amp; " und &lt; "&amp;E26</f>
        <v>Zuordnungen &gt; 20 und &lt; 97</v>
      </c>
      <c r="G25" s="17" t="n">
        <f aca="false">COUNTIF(V_W_q6mcg_Zuord,"&lt;"&amp;E26)-SUM(G4:G24)</f>
        <v>0</v>
      </c>
      <c r="H25" s="22"/>
      <c r="I25" s="22"/>
      <c r="J25" s="22"/>
    </row>
    <row r="26" customFormat="false" ht="8.25" hidden="false" customHeight="true" outlineLevel="0" collapsed="false">
      <c r="A26" s="6" t="n">
        <v>26</v>
      </c>
      <c r="B26" s="6" t="n">
        <f aca="false">Codestufen!E27</f>
        <v>0</v>
      </c>
      <c r="C26" s="6" t="n">
        <f aca="false">COUNTIF(V_W_q6mcg_Zuord,A26)</f>
        <v>0</v>
      </c>
      <c r="D26" s="23" t="s">
        <v>32</v>
      </c>
      <c r="E26" s="18" t="n">
        <f aca="false">D29</f>
        <v>97</v>
      </c>
      <c r="F26" s="19" t="str">
        <f aca="false">HYPERLINK("#Codestufen!"&amp;ADDRESS(E26+1,D$6),IF(INDEX(V_W_q6mcg_CodestufenName,E26)=0,"",INDEX(V_W_q6mcg_CodestufenName,E26)))</f>
        <v>Others</v>
      </c>
      <c r="G26" s="18" t="n">
        <f aca="false">INDEX(V_W_q6mcg_Codestufen,E26)</f>
        <v>0</v>
      </c>
      <c r="H26" s="22"/>
      <c r="I26" s="22"/>
      <c r="J26" s="22"/>
    </row>
    <row r="27" customFormat="false" ht="8.25" hidden="false" customHeight="true" outlineLevel="0" collapsed="false">
      <c r="A27" s="6" t="n">
        <v>27</v>
      </c>
      <c r="B27" s="6" t="n">
        <f aca="false">Codestufen!E28</f>
        <v>0</v>
      </c>
      <c r="C27" s="6" t="n">
        <f aca="false">COUNTIF(V_W_q6mcg_Zuord,A27)</f>
        <v>0</v>
      </c>
      <c r="D27" s="24" t="s">
        <v>33</v>
      </c>
      <c r="E27" s="18" t="n">
        <f aca="false">E26+1</f>
        <v>98</v>
      </c>
      <c r="F27" s="19" t="str">
        <f aca="false">HYPERLINK("#Codestufen!"&amp;ADDRESS(E27+1,D$6),IF(INDEX(V_W_q6mcg_CodestufenName,E27)=0,"",INDEX(V_W_q6mcg_CodestufenName,E27)))</f>
        <v/>
      </c>
      <c r="G27" s="18" t="n">
        <f aca="false">INDEX(V_W_q6mcg_Codestufen,E27)</f>
        <v>0</v>
      </c>
      <c r="H27" s="22"/>
      <c r="I27" s="22"/>
      <c r="J27" s="22"/>
    </row>
    <row r="28" customFormat="false" ht="8.25" hidden="false" customHeight="true" outlineLevel="0" collapsed="false">
      <c r="A28" s="6" t="n">
        <v>28</v>
      </c>
      <c r="B28" s="6" t="n">
        <f aca="false">Codestufen!E29</f>
        <v>0</v>
      </c>
      <c r="C28" s="6" t="n">
        <f aca="false">COUNTIF(V_W_q6mcg_Zuord,A28)</f>
        <v>0</v>
      </c>
      <c r="D28" s="24" t="s">
        <v>34</v>
      </c>
      <c r="E28" s="18" t="n">
        <f aca="false">E27+1</f>
        <v>99</v>
      </c>
      <c r="F28" s="19" t="str">
        <f aca="false">HYPERLINK("#Codestufen!"&amp;ADDRESS(E28+1,D$6),IF(INDEX(V_W_q6mcg_CodestufenName,E28)=0,"",INDEX(V_W_q6mcg_CodestufenName,E28)))</f>
        <v>No answer</v>
      </c>
      <c r="G28" s="18" t="n">
        <f aca="false">INDEX(V_W_q6mcg_Codestufen,E28)</f>
        <v>0</v>
      </c>
      <c r="H28" s="22"/>
      <c r="I28" s="22"/>
      <c r="J28" s="22"/>
    </row>
    <row r="29" customFormat="false" ht="8.25" hidden="false" customHeight="true" outlineLevel="0" collapsed="false">
      <c r="A29" s="6" t="n">
        <v>29</v>
      </c>
      <c r="B29" s="6" t="n">
        <f aca="false">Codestufen!E30</f>
        <v>0</v>
      </c>
      <c r="C29" s="6" t="n">
        <f aca="false">COUNTIF(V_W_q6mcg_Zuord,A29)</f>
        <v>0</v>
      </c>
      <c r="D29" s="25" t="n">
        <v>97</v>
      </c>
      <c r="E29" s="18" t="n">
        <f aca="false">E28+1</f>
        <v>100</v>
      </c>
      <c r="F29" s="19" t="str">
        <f aca="false">HYPERLINK("#Codestufen!"&amp;ADDRESS(E29+1,D$6),IF(INDEX(V_W_q6mcg_CodestufenName,E29)=0,"",INDEX(V_W_q6mcg_CodestufenName,E29)))</f>
        <v/>
      </c>
      <c r="G29" s="18" t="n">
        <f aca="false">INDEX(V_W_q6mcg_Codestufen,E29)</f>
        <v>0</v>
      </c>
      <c r="H29" s="22"/>
      <c r="I29" s="22"/>
      <c r="J29" s="22"/>
    </row>
    <row r="30" customFormat="false" ht="8.25" hidden="false" customHeight="true" outlineLevel="0" collapsed="false">
      <c r="A30" s="6" t="n">
        <v>30</v>
      </c>
      <c r="B30" s="6" t="n">
        <f aca="false">Codestufen!E31</f>
        <v>0</v>
      </c>
      <c r="C30" s="6" t="n">
        <f aca="false">COUNTIF(V_W_q6mcg_Zuord,A30)</f>
        <v>0</v>
      </c>
      <c r="D30" s="17"/>
      <c r="E30" s="17"/>
      <c r="F30" s="17" t="str">
        <f aca="false">"Zuordnungen &gt; " &amp;E29</f>
        <v>Zuordnungen &gt; 100</v>
      </c>
      <c r="G30" s="17" t="n">
        <f aca="false">COUNTIF(V_W_q6mcg_Zuord,"&gt;"&amp;E29)</f>
        <v>0</v>
      </c>
      <c r="H30" s="22"/>
      <c r="I30" s="22"/>
      <c r="J30" s="22"/>
    </row>
    <row r="31" customFormat="false" ht="8.25" hidden="false" customHeight="true" outlineLevel="0" collapsed="false">
      <c r="A31" s="6" t="n">
        <v>31</v>
      </c>
      <c r="B31" s="6" t="n">
        <f aca="false">Codestufen!E32</f>
        <v>0</v>
      </c>
      <c r="C31" s="6" t="n">
        <f aca="false">COUNTIF(V_W_q6mcg_Zuord,A31)</f>
        <v>0</v>
      </c>
    </row>
    <row r="32" s="26" customFormat="true" ht="33.75" hidden="false" customHeight="false" outlineLevel="0" collapsed="false">
      <c r="A32" s="26" t="n">
        <v>32</v>
      </c>
      <c r="B32" s="6" t="n">
        <f aca="false">Codestufen!E33</f>
        <v>0</v>
      </c>
      <c r="C32" s="6" t="n">
        <f aca="false">COUNTIF(V_W_q6mcg_Zuord,A32)</f>
        <v>0</v>
      </c>
      <c r="D32" s="27" t="s">
        <v>35</v>
      </c>
      <c r="E32" s="27" t="s">
        <v>36</v>
      </c>
      <c r="F32" s="27" t="s">
        <v>37</v>
      </c>
      <c r="G32" s="27" t="s">
        <v>38</v>
      </c>
      <c r="H32" s="27" t="s">
        <v>77</v>
      </c>
      <c r="I32" s="27" t="s">
        <v>78</v>
      </c>
      <c r="J32" s="27" t="s">
        <v>79</v>
      </c>
      <c r="K32" s="27" t="s">
        <v>80</v>
      </c>
      <c r="L32" s="27" t="s">
        <v>81</v>
      </c>
      <c r="M32" s="27" t="s">
        <v>82</v>
      </c>
      <c r="N32" s="27" t="s">
        <v>83</v>
      </c>
      <c r="O32" s="27" t="s">
        <v>84</v>
      </c>
      <c r="P32" s="27" t="s">
        <v>85</v>
      </c>
      <c r="Q32" s="27" t="s">
        <v>39</v>
      </c>
      <c r="R32" s="27" t="s">
        <v>40</v>
      </c>
      <c r="S32" s="27" t="s">
        <v>41</v>
      </c>
      <c r="T32" s="27" t="s">
        <v>42</v>
      </c>
      <c r="U32" s="27" t="s">
        <v>43</v>
      </c>
      <c r="V32" s="27" t="s">
        <v>44</v>
      </c>
      <c r="W32" s="27" t="s">
        <v>45</v>
      </c>
      <c r="X32" s="27" t="s">
        <v>46</v>
      </c>
      <c r="Y32" s="27" t="s">
        <v>86</v>
      </c>
      <c r="Z32" s="27" t="s">
        <v>87</v>
      </c>
      <c r="AA32" s="27" t="s">
        <v>88</v>
      </c>
      <c r="AB32" s="27" t="s">
        <v>89</v>
      </c>
      <c r="AC32" s="27" t="s">
        <v>90</v>
      </c>
      <c r="AD32" s="27" t="s">
        <v>91</v>
      </c>
      <c r="AE32" s="27" t="s">
        <v>92</v>
      </c>
      <c r="AF32" s="27" t="s">
        <v>93</v>
      </c>
      <c r="AG32" s="27" t="s">
        <v>94</v>
      </c>
      <c r="AH32" s="27" t="s">
        <v>47</v>
      </c>
      <c r="AI32" s="27" t="s">
        <v>95</v>
      </c>
      <c r="AJ32" s="27" t="s">
        <v>96</v>
      </c>
      <c r="AK32" s="27" t="s">
        <v>97</v>
      </c>
      <c r="AL32" s="27" t="s">
        <v>98</v>
      </c>
      <c r="AM32" s="27" t="s">
        <v>99</v>
      </c>
      <c r="AN32" s="27" t="s">
        <v>100</v>
      </c>
      <c r="AO32" s="27" t="s">
        <v>101</v>
      </c>
      <c r="AP32" s="27" t="s">
        <v>102</v>
      </c>
      <c r="AQ32" s="27" t="s">
        <v>103</v>
      </c>
      <c r="AR32" s="27" t="s">
        <v>48</v>
      </c>
      <c r="AS32" s="27" t="s">
        <v>104</v>
      </c>
      <c r="AT32" s="27" t="s">
        <v>105</v>
      </c>
      <c r="AU32" s="27" t="s">
        <v>106</v>
      </c>
      <c r="AV32" s="27" t="s">
        <v>107</v>
      </c>
      <c r="AW32" s="27" t="s">
        <v>108</v>
      </c>
      <c r="AX32" s="27" t="s">
        <v>109</v>
      </c>
      <c r="AY32" s="27" t="s">
        <v>110</v>
      </c>
      <c r="AZ32" s="27" t="s">
        <v>111</v>
      </c>
      <c r="BA32" s="27" t="s">
        <v>112</v>
      </c>
      <c r="BB32" s="27" t="s">
        <v>49</v>
      </c>
      <c r="BC32" s="27" t="s">
        <v>50</v>
      </c>
      <c r="BD32" s="27" t="s">
        <v>51</v>
      </c>
    </row>
    <row r="33" customFormat="false" ht="11.25" hidden="false" customHeight="false" outlineLevel="0" collapsed="false">
      <c r="A33" s="6" t="n">
        <v>33</v>
      </c>
      <c r="B33" s="6" t="n">
        <f aca="false">Codestufen!E34</f>
        <v>0</v>
      </c>
      <c r="C33" s="6" t="n">
        <f aca="false">COUNTIF(V_W_q6mcg_Zuord,A33)</f>
        <v>0</v>
      </c>
      <c r="D33" s="28" t="s">
        <v>52</v>
      </c>
      <c r="E33" s="28" t="n">
        <v>7</v>
      </c>
      <c r="F33" s="29" t="s">
        <v>53</v>
      </c>
      <c r="G33" s="30" t="n">
        <v>1</v>
      </c>
      <c r="H33" s="30" t="n">
        <v>4</v>
      </c>
      <c r="I33" s="30"/>
      <c r="J33" s="30"/>
      <c r="K33" s="30"/>
      <c r="L33" s="30"/>
      <c r="M33" s="30"/>
      <c r="N33" s="30"/>
      <c r="O33" s="30"/>
      <c r="P33" s="30"/>
      <c r="Q33" s="28" t="n">
        <f aca="false">IF(TRIM(F33)="",0,1)</f>
        <v>1</v>
      </c>
      <c r="R33" s="28" t="n">
        <f aca="false">COUNT(G33:P33)</f>
        <v>2</v>
      </c>
      <c r="S33" s="28" t="n">
        <f aca="false">IF(R33 &gt;= Q33,0,1)</f>
        <v>0</v>
      </c>
      <c r="T33" s="28" t="n">
        <f aca="false">IF(AND(R33 &gt; 0,Q33=0),1,0)</f>
        <v>0</v>
      </c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</row>
    <row r="34" customFormat="false" ht="11.25" hidden="false" customHeight="false" outlineLevel="0" collapsed="false">
      <c r="A34" s="6" t="n">
        <v>34</v>
      </c>
      <c r="B34" s="6" t="n">
        <f aca="false">Codestufen!E35</f>
        <v>0</v>
      </c>
      <c r="C34" s="6" t="n">
        <f aca="false">COUNTIF(V_W_q6mcg_Zuord,A34)</f>
        <v>0</v>
      </c>
      <c r="D34" s="28" t="s">
        <v>52</v>
      </c>
      <c r="E34" s="28" t="n">
        <v>17</v>
      </c>
      <c r="F34" s="29" t="s">
        <v>53</v>
      </c>
      <c r="G34" s="30" t="n">
        <v>1</v>
      </c>
      <c r="H34" s="30"/>
      <c r="I34" s="30"/>
      <c r="J34" s="30"/>
      <c r="K34" s="30"/>
      <c r="L34" s="30"/>
      <c r="M34" s="30"/>
      <c r="N34" s="30"/>
      <c r="O34" s="30"/>
      <c r="P34" s="30"/>
      <c r="Q34" s="28" t="n">
        <f aca="false">IF(TRIM(F34)="",0,1)</f>
        <v>1</v>
      </c>
      <c r="R34" s="28" t="n">
        <f aca="false">COUNT(G34:P34)</f>
        <v>1</v>
      </c>
      <c r="S34" s="28" t="n">
        <f aca="false">IF(R34 &gt;= Q34,0,1)</f>
        <v>0</v>
      </c>
      <c r="T34" s="28" t="n">
        <f aca="false">IF(AND(R34 &gt; 0,Q34=0),1,0)</f>
        <v>0</v>
      </c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</row>
    <row r="35" customFormat="false" ht="11.25" hidden="false" customHeight="false" outlineLevel="0" collapsed="false">
      <c r="A35" s="6" t="n">
        <v>35</v>
      </c>
      <c r="B35" s="6" t="n">
        <f aca="false">Codestufen!E36</f>
        <v>0</v>
      </c>
      <c r="C35" s="6" t="n">
        <f aca="false">COUNTIF(V_W_q6mcg_Zuord,A35)</f>
        <v>0</v>
      </c>
      <c r="D35" s="28" t="s">
        <v>52</v>
      </c>
      <c r="E35" s="28" t="n">
        <v>23</v>
      </c>
      <c r="F35" s="29" t="s">
        <v>53</v>
      </c>
      <c r="G35" s="30" t="n">
        <v>1</v>
      </c>
      <c r="H35" s="30"/>
      <c r="I35" s="30"/>
      <c r="J35" s="30"/>
      <c r="K35" s="30"/>
      <c r="L35" s="30"/>
      <c r="M35" s="30"/>
      <c r="N35" s="30"/>
      <c r="O35" s="30"/>
      <c r="P35" s="30"/>
      <c r="Q35" s="28" t="n">
        <f aca="false">IF(TRIM(F35)="",0,1)</f>
        <v>1</v>
      </c>
      <c r="R35" s="28" t="n">
        <f aca="false">COUNT(G35:P35)</f>
        <v>1</v>
      </c>
      <c r="S35" s="28" t="n">
        <f aca="false">IF(R35 &gt;= Q35,0,1)</f>
        <v>0</v>
      </c>
      <c r="T35" s="28" t="n">
        <f aca="false">IF(AND(R35 &gt; 0,Q35=0),1,0)</f>
        <v>0</v>
      </c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</row>
    <row r="36" customFormat="false" ht="11.25" hidden="false" customHeight="false" outlineLevel="0" collapsed="false">
      <c r="A36" s="6" t="n">
        <v>36</v>
      </c>
      <c r="B36" s="6" t="n">
        <f aca="false">Codestufen!E37</f>
        <v>0</v>
      </c>
      <c r="C36" s="6" t="n">
        <f aca="false">COUNTIF(V_W_q6mcg_Zuord,A36)</f>
        <v>0</v>
      </c>
      <c r="D36" s="28" t="s">
        <v>52</v>
      </c>
      <c r="E36" s="28" t="n">
        <v>51</v>
      </c>
      <c r="F36" s="29" t="s">
        <v>53</v>
      </c>
      <c r="G36" s="30" t="n">
        <v>1</v>
      </c>
      <c r="H36" s="30"/>
      <c r="I36" s="30"/>
      <c r="J36" s="30"/>
      <c r="K36" s="30"/>
      <c r="L36" s="30"/>
      <c r="M36" s="30"/>
      <c r="N36" s="30"/>
      <c r="O36" s="30"/>
      <c r="P36" s="30"/>
      <c r="Q36" s="28" t="n">
        <f aca="false">IF(TRIM(F36)="",0,1)</f>
        <v>1</v>
      </c>
      <c r="R36" s="28" t="n">
        <f aca="false">COUNT(G36:P36)</f>
        <v>1</v>
      </c>
      <c r="S36" s="28" t="n">
        <f aca="false">IF(R36 &gt;= Q36,0,1)</f>
        <v>0</v>
      </c>
      <c r="T36" s="28" t="n">
        <f aca="false">IF(AND(R36 &gt; 0,Q36=0),1,0)</f>
        <v>0</v>
      </c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</row>
    <row r="37" customFormat="false" ht="11.25" hidden="false" customHeight="false" outlineLevel="0" collapsed="false">
      <c r="A37" s="6" t="n">
        <v>37</v>
      </c>
      <c r="B37" s="6" t="n">
        <f aca="false">Codestufen!E38</f>
        <v>0</v>
      </c>
      <c r="C37" s="6" t="n">
        <f aca="false">COUNTIF(V_W_q6mcg_Zuord,A37)</f>
        <v>0</v>
      </c>
      <c r="D37" s="28" t="s">
        <v>52</v>
      </c>
      <c r="E37" s="28" t="n">
        <v>58</v>
      </c>
      <c r="F37" s="29" t="s">
        <v>53</v>
      </c>
      <c r="G37" s="30" t="n">
        <v>1</v>
      </c>
      <c r="H37" s="30" t="n">
        <v>4</v>
      </c>
      <c r="I37" s="30"/>
      <c r="J37" s="30"/>
      <c r="K37" s="30"/>
      <c r="L37" s="30"/>
      <c r="M37" s="30"/>
      <c r="N37" s="30"/>
      <c r="O37" s="30"/>
      <c r="P37" s="30"/>
      <c r="Q37" s="28" t="n">
        <f aca="false">IF(TRIM(F37)="",0,1)</f>
        <v>1</v>
      </c>
      <c r="R37" s="28" t="n">
        <f aca="false">COUNT(G37:P37)</f>
        <v>2</v>
      </c>
      <c r="S37" s="28" t="n">
        <f aca="false">IF(R37 &gt;= Q37,0,1)</f>
        <v>0</v>
      </c>
      <c r="T37" s="28" t="n">
        <f aca="false">IF(AND(R37 &gt; 0,Q37=0),1,0)</f>
        <v>0</v>
      </c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</row>
    <row r="38" customFormat="false" ht="11.25" hidden="false" customHeight="false" outlineLevel="0" collapsed="false">
      <c r="A38" s="6" t="n">
        <v>38</v>
      </c>
      <c r="B38" s="6" t="n">
        <f aca="false">Codestufen!E39</f>
        <v>0</v>
      </c>
      <c r="C38" s="6" t="n">
        <f aca="false">COUNTIF(V_W_q6mcg_Zuord,A38)</f>
        <v>0</v>
      </c>
      <c r="D38" s="28" t="s">
        <v>52</v>
      </c>
      <c r="E38" s="28" t="n">
        <v>65</v>
      </c>
      <c r="F38" s="29" t="s">
        <v>53</v>
      </c>
      <c r="G38" s="30" t="n">
        <v>1</v>
      </c>
      <c r="H38" s="30"/>
      <c r="I38" s="30"/>
      <c r="J38" s="30"/>
      <c r="K38" s="30"/>
      <c r="L38" s="30"/>
      <c r="M38" s="30"/>
      <c r="N38" s="30"/>
      <c r="O38" s="30"/>
      <c r="P38" s="30"/>
      <c r="Q38" s="28" t="n">
        <f aca="false">IF(TRIM(F38)="",0,1)</f>
        <v>1</v>
      </c>
      <c r="R38" s="28" t="n">
        <f aca="false">COUNT(G38:P38)</f>
        <v>1</v>
      </c>
      <c r="S38" s="28" t="n">
        <f aca="false">IF(R38 &gt;= Q38,0,1)</f>
        <v>0</v>
      </c>
      <c r="T38" s="28" t="n">
        <f aca="false">IF(AND(R38 &gt; 0,Q38=0),1,0)</f>
        <v>0</v>
      </c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</row>
    <row r="39" customFormat="false" ht="11.25" hidden="false" customHeight="false" outlineLevel="0" collapsed="false">
      <c r="A39" s="6" t="n">
        <v>39</v>
      </c>
      <c r="B39" s="6" t="n">
        <f aca="false">Codestufen!E40</f>
        <v>0</v>
      </c>
      <c r="C39" s="6" t="n">
        <f aca="false">COUNTIF(V_W_q6mcg_Zuord,A39)</f>
        <v>0</v>
      </c>
      <c r="D39" s="28" t="s">
        <v>52</v>
      </c>
      <c r="E39" s="28" t="n">
        <v>67</v>
      </c>
      <c r="F39" s="29" t="s">
        <v>53</v>
      </c>
      <c r="G39" s="30" t="n">
        <v>1</v>
      </c>
      <c r="H39" s="30"/>
      <c r="I39" s="30"/>
      <c r="J39" s="30"/>
      <c r="K39" s="30"/>
      <c r="L39" s="30"/>
      <c r="M39" s="30"/>
      <c r="N39" s="30"/>
      <c r="O39" s="30"/>
      <c r="P39" s="30"/>
      <c r="Q39" s="28" t="n">
        <f aca="false">IF(TRIM(F39)="",0,1)</f>
        <v>1</v>
      </c>
      <c r="R39" s="28" t="n">
        <f aca="false">COUNT(G39:P39)</f>
        <v>1</v>
      </c>
      <c r="S39" s="28" t="n">
        <f aca="false">IF(R39 &gt;= Q39,0,1)</f>
        <v>0</v>
      </c>
      <c r="T39" s="28" t="n">
        <f aca="false">IF(AND(R39 &gt; 0,Q39=0),1,0)</f>
        <v>0</v>
      </c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</row>
    <row r="40" customFormat="false" ht="11.25" hidden="false" customHeight="false" outlineLevel="0" collapsed="false">
      <c r="A40" s="6" t="n">
        <v>40</v>
      </c>
      <c r="B40" s="6" t="n">
        <f aca="false">Codestufen!E41</f>
        <v>0</v>
      </c>
      <c r="C40" s="6" t="n">
        <f aca="false">COUNTIF(V_W_q6mcg_Zuord,A40)</f>
        <v>0</v>
      </c>
      <c r="D40" s="28" t="s">
        <v>52</v>
      </c>
      <c r="E40" s="28" t="n">
        <v>73</v>
      </c>
      <c r="F40" s="29" t="s">
        <v>53</v>
      </c>
      <c r="G40" s="30" t="n">
        <v>1</v>
      </c>
      <c r="H40" s="30" t="n">
        <v>4</v>
      </c>
      <c r="I40" s="30"/>
      <c r="J40" s="30"/>
      <c r="K40" s="30"/>
      <c r="L40" s="30"/>
      <c r="M40" s="30"/>
      <c r="N40" s="30"/>
      <c r="O40" s="30"/>
      <c r="P40" s="30"/>
      <c r="Q40" s="28" t="n">
        <f aca="false">IF(TRIM(F40)="",0,1)</f>
        <v>1</v>
      </c>
      <c r="R40" s="28" t="n">
        <f aca="false">COUNT(G40:P40)</f>
        <v>2</v>
      </c>
      <c r="S40" s="28" t="n">
        <f aca="false">IF(R40 &gt;= Q40,0,1)</f>
        <v>0</v>
      </c>
      <c r="T40" s="28" t="n">
        <f aca="false">IF(AND(R40 &gt; 0,Q40=0),1,0)</f>
        <v>0</v>
      </c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</row>
    <row r="41" customFormat="false" ht="11.25" hidden="false" customHeight="false" outlineLevel="0" collapsed="false">
      <c r="A41" s="6" t="n">
        <v>41</v>
      </c>
      <c r="B41" s="6" t="n">
        <f aca="false">Codestufen!E42</f>
        <v>0</v>
      </c>
      <c r="C41" s="6" t="n">
        <f aca="false">COUNTIF(V_W_q6mcg_Zuord,A41)</f>
        <v>0</v>
      </c>
      <c r="D41" s="28" t="s">
        <v>52</v>
      </c>
      <c r="E41" s="28" t="n">
        <v>74</v>
      </c>
      <c r="F41" s="29" t="s">
        <v>53</v>
      </c>
      <c r="G41" s="30" t="n">
        <v>1</v>
      </c>
      <c r="H41" s="30"/>
      <c r="I41" s="30"/>
      <c r="J41" s="30"/>
      <c r="K41" s="30"/>
      <c r="L41" s="30"/>
      <c r="M41" s="30"/>
      <c r="N41" s="30"/>
      <c r="O41" s="30"/>
      <c r="P41" s="30"/>
      <c r="Q41" s="28" t="n">
        <f aca="false">IF(TRIM(F41)="",0,1)</f>
        <v>1</v>
      </c>
      <c r="R41" s="28" t="n">
        <f aca="false">COUNT(G41:P41)</f>
        <v>1</v>
      </c>
      <c r="S41" s="28" t="n">
        <f aca="false">IF(R41 &gt;= Q41,0,1)</f>
        <v>0</v>
      </c>
      <c r="T41" s="28" t="n">
        <f aca="false">IF(AND(R41 &gt; 0,Q41=0),1,0)</f>
        <v>0</v>
      </c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</row>
    <row r="42" customFormat="false" ht="11.25" hidden="false" customHeight="false" outlineLevel="0" collapsed="false">
      <c r="A42" s="6" t="n">
        <v>42</v>
      </c>
      <c r="B42" s="6" t="n">
        <f aca="false">Codestufen!E43</f>
        <v>0</v>
      </c>
      <c r="C42" s="6" t="n">
        <f aca="false">COUNTIF(V_W_q6mcg_Zuord,A42)</f>
        <v>0</v>
      </c>
      <c r="D42" s="28" t="s">
        <v>52</v>
      </c>
      <c r="E42" s="28" t="n">
        <v>91</v>
      </c>
      <c r="F42" s="29" t="s">
        <v>53</v>
      </c>
      <c r="G42" s="30" t="n">
        <v>1</v>
      </c>
      <c r="H42" s="30"/>
      <c r="I42" s="30"/>
      <c r="J42" s="30"/>
      <c r="K42" s="30"/>
      <c r="L42" s="30"/>
      <c r="M42" s="30"/>
      <c r="N42" s="30"/>
      <c r="O42" s="30"/>
      <c r="P42" s="30"/>
      <c r="Q42" s="28" t="n">
        <f aca="false">IF(TRIM(F42)="",0,1)</f>
        <v>1</v>
      </c>
      <c r="R42" s="28" t="n">
        <f aca="false">COUNT(G42:P42)</f>
        <v>1</v>
      </c>
      <c r="S42" s="28" t="n">
        <f aca="false">IF(R42 &gt;= Q42,0,1)</f>
        <v>0</v>
      </c>
      <c r="T42" s="28" t="n">
        <f aca="false">IF(AND(R42 &gt; 0,Q42=0),1,0)</f>
        <v>0</v>
      </c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</row>
    <row r="43" customFormat="false" ht="11.25" hidden="false" customHeight="false" outlineLevel="0" collapsed="false">
      <c r="A43" s="6" t="n">
        <v>43</v>
      </c>
      <c r="B43" s="6" t="n">
        <f aca="false">Codestufen!E44</f>
        <v>0</v>
      </c>
      <c r="C43" s="6" t="n">
        <f aca="false">COUNTIF(V_W_q6mcg_Zuord,A43)</f>
        <v>0</v>
      </c>
      <c r="D43" s="28" t="s">
        <v>52</v>
      </c>
      <c r="E43" s="28" t="n">
        <v>100</v>
      </c>
      <c r="F43" s="29" t="s">
        <v>53</v>
      </c>
      <c r="G43" s="30" t="n">
        <v>1</v>
      </c>
      <c r="H43" s="30"/>
      <c r="I43" s="30"/>
      <c r="J43" s="30"/>
      <c r="K43" s="30"/>
      <c r="L43" s="30"/>
      <c r="M43" s="30"/>
      <c r="N43" s="30"/>
      <c r="O43" s="30"/>
      <c r="P43" s="30"/>
      <c r="Q43" s="28" t="n">
        <f aca="false">IF(TRIM(F43)="",0,1)</f>
        <v>1</v>
      </c>
      <c r="R43" s="28" t="n">
        <f aca="false">COUNT(G43:P43)</f>
        <v>1</v>
      </c>
      <c r="S43" s="28" t="n">
        <f aca="false">IF(R43 &gt;= Q43,0,1)</f>
        <v>0</v>
      </c>
      <c r="T43" s="28" t="n">
        <f aca="false">IF(AND(R43 &gt; 0,Q43=0),1,0)</f>
        <v>0</v>
      </c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</row>
    <row r="44" customFormat="false" ht="11.25" hidden="false" customHeight="false" outlineLevel="0" collapsed="false">
      <c r="A44" s="6" t="n">
        <v>44</v>
      </c>
      <c r="B44" s="6" t="n">
        <f aca="false">Codestufen!E45</f>
        <v>0</v>
      </c>
      <c r="C44" s="6" t="n">
        <f aca="false">COUNTIF(V_W_q6mcg_Zuord,A44)</f>
        <v>0</v>
      </c>
      <c r="D44" s="28" t="s">
        <v>52</v>
      </c>
      <c r="E44" s="28" t="n">
        <v>3</v>
      </c>
      <c r="F44" s="29" t="s">
        <v>54</v>
      </c>
      <c r="G44" s="30" t="n">
        <v>2</v>
      </c>
      <c r="H44" s="30"/>
      <c r="I44" s="30"/>
      <c r="J44" s="30"/>
      <c r="K44" s="30"/>
      <c r="L44" s="30"/>
      <c r="M44" s="30"/>
      <c r="N44" s="30"/>
      <c r="O44" s="30"/>
      <c r="P44" s="30"/>
      <c r="Q44" s="28" t="n">
        <f aca="false">IF(TRIM(F44)="",0,1)</f>
        <v>1</v>
      </c>
      <c r="R44" s="28" t="n">
        <f aca="false">COUNT(G44:P44)</f>
        <v>1</v>
      </c>
      <c r="S44" s="28" t="n">
        <f aca="false">IF(R44 &gt;= Q44,0,1)</f>
        <v>0</v>
      </c>
      <c r="T44" s="28" t="n">
        <f aca="false">IF(AND(R44 &gt; 0,Q44=0),1,0)</f>
        <v>0</v>
      </c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</row>
    <row r="45" customFormat="false" ht="11.25" hidden="false" customHeight="false" outlineLevel="0" collapsed="false">
      <c r="A45" s="6" t="n">
        <v>45</v>
      </c>
      <c r="B45" s="6" t="n">
        <f aca="false">Codestufen!E46</f>
        <v>0</v>
      </c>
      <c r="C45" s="6" t="n">
        <f aca="false">COUNTIF(V_W_q6mcg_Zuord,A45)</f>
        <v>0</v>
      </c>
      <c r="D45" s="28" t="s">
        <v>52</v>
      </c>
      <c r="E45" s="28" t="n">
        <v>13</v>
      </c>
      <c r="F45" s="29" t="s">
        <v>54</v>
      </c>
      <c r="G45" s="30" t="n">
        <v>2</v>
      </c>
      <c r="H45" s="30"/>
      <c r="I45" s="30"/>
      <c r="J45" s="30"/>
      <c r="K45" s="30"/>
      <c r="L45" s="30"/>
      <c r="M45" s="30"/>
      <c r="N45" s="30"/>
      <c r="O45" s="30"/>
      <c r="P45" s="30"/>
      <c r="Q45" s="28" t="n">
        <f aca="false">IF(TRIM(F45)="",0,1)</f>
        <v>1</v>
      </c>
      <c r="R45" s="28" t="n">
        <f aca="false">COUNT(G45:P45)</f>
        <v>1</v>
      </c>
      <c r="S45" s="28" t="n">
        <f aca="false">IF(R45 &gt;= Q45,0,1)</f>
        <v>0</v>
      </c>
      <c r="T45" s="28" t="n">
        <f aca="false">IF(AND(R45 &gt; 0,Q45=0),1,0)</f>
        <v>0</v>
      </c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</row>
    <row r="46" customFormat="false" ht="11.25" hidden="false" customHeight="false" outlineLevel="0" collapsed="false">
      <c r="A46" s="6" t="n">
        <v>46</v>
      </c>
      <c r="B46" s="6" t="n">
        <f aca="false">Codestufen!E47</f>
        <v>0</v>
      </c>
      <c r="C46" s="6" t="n">
        <f aca="false">COUNTIF(V_W_q6mcg_Zuord,A46)</f>
        <v>0</v>
      </c>
      <c r="D46" s="28" t="s">
        <v>52</v>
      </c>
      <c r="E46" s="28" t="n">
        <v>22</v>
      </c>
      <c r="F46" s="29" t="s">
        <v>54</v>
      </c>
      <c r="G46" s="30" t="n">
        <v>2</v>
      </c>
      <c r="H46" s="30"/>
      <c r="I46" s="30"/>
      <c r="J46" s="30"/>
      <c r="K46" s="30"/>
      <c r="L46" s="30"/>
      <c r="M46" s="30"/>
      <c r="N46" s="30"/>
      <c r="O46" s="30"/>
      <c r="P46" s="30"/>
      <c r="Q46" s="28" t="n">
        <f aca="false">IF(TRIM(F46)="",0,1)</f>
        <v>1</v>
      </c>
      <c r="R46" s="28" t="n">
        <f aca="false">COUNT(G46:P46)</f>
        <v>1</v>
      </c>
      <c r="S46" s="28" t="n">
        <f aca="false">IF(R46 &gt;= Q46,0,1)</f>
        <v>0</v>
      </c>
      <c r="T46" s="28" t="n">
        <f aca="false">IF(AND(R46 &gt; 0,Q46=0),1,0)</f>
        <v>0</v>
      </c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</row>
    <row r="47" customFormat="false" ht="11.25" hidden="false" customHeight="false" outlineLevel="0" collapsed="false">
      <c r="A47" s="6" t="n">
        <v>47</v>
      </c>
      <c r="B47" s="6" t="n">
        <f aca="false">Codestufen!E48</f>
        <v>0</v>
      </c>
      <c r="C47" s="6" t="n">
        <f aca="false">COUNTIF(V_W_q6mcg_Zuord,A47)</f>
        <v>0</v>
      </c>
      <c r="D47" s="28" t="s">
        <v>52</v>
      </c>
      <c r="E47" s="28" t="n">
        <v>26</v>
      </c>
      <c r="F47" s="29" t="s">
        <v>54</v>
      </c>
      <c r="G47" s="30" t="n">
        <v>2</v>
      </c>
      <c r="H47" s="30"/>
      <c r="I47" s="30"/>
      <c r="J47" s="30"/>
      <c r="K47" s="30"/>
      <c r="L47" s="30"/>
      <c r="M47" s="30"/>
      <c r="N47" s="30"/>
      <c r="O47" s="30"/>
      <c r="P47" s="30"/>
      <c r="Q47" s="28" t="n">
        <f aca="false">IF(TRIM(F47)="",0,1)</f>
        <v>1</v>
      </c>
      <c r="R47" s="28" t="n">
        <f aca="false">COUNT(G47:P47)</f>
        <v>1</v>
      </c>
      <c r="S47" s="28" t="n">
        <f aca="false">IF(R47 &gt;= Q47,0,1)</f>
        <v>0</v>
      </c>
      <c r="T47" s="28" t="n">
        <f aca="false">IF(AND(R47 &gt; 0,Q47=0),1,0)</f>
        <v>0</v>
      </c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</row>
    <row r="48" customFormat="false" ht="11.25" hidden="false" customHeight="false" outlineLevel="0" collapsed="false">
      <c r="A48" s="6" t="n">
        <v>48</v>
      </c>
      <c r="B48" s="6" t="n">
        <f aca="false">Codestufen!E49</f>
        <v>0</v>
      </c>
      <c r="C48" s="6" t="n">
        <f aca="false">COUNTIF(V_W_q6mcg_Zuord,A48)</f>
        <v>0</v>
      </c>
      <c r="D48" s="28" t="s">
        <v>52</v>
      </c>
      <c r="E48" s="28" t="n">
        <v>35</v>
      </c>
      <c r="F48" s="29" t="s">
        <v>54</v>
      </c>
      <c r="G48" s="30" t="n">
        <v>2</v>
      </c>
      <c r="H48" s="30"/>
      <c r="I48" s="30"/>
      <c r="J48" s="30"/>
      <c r="K48" s="30"/>
      <c r="L48" s="30"/>
      <c r="M48" s="30"/>
      <c r="N48" s="30"/>
      <c r="O48" s="30"/>
      <c r="P48" s="30"/>
      <c r="Q48" s="28" t="n">
        <f aca="false">IF(TRIM(F48)="",0,1)</f>
        <v>1</v>
      </c>
      <c r="R48" s="28" t="n">
        <f aca="false">COUNT(G48:P48)</f>
        <v>1</v>
      </c>
      <c r="S48" s="28" t="n">
        <f aca="false">IF(R48 &gt;= Q48,0,1)</f>
        <v>0</v>
      </c>
      <c r="T48" s="28" t="n">
        <f aca="false">IF(AND(R48 &gt; 0,Q48=0),1,0)</f>
        <v>0</v>
      </c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</row>
    <row r="49" customFormat="false" ht="11.25" hidden="false" customHeight="false" outlineLevel="0" collapsed="false">
      <c r="A49" s="6" t="n">
        <v>49</v>
      </c>
      <c r="B49" s="6" t="n">
        <f aca="false">Codestufen!E50</f>
        <v>0</v>
      </c>
      <c r="C49" s="6" t="n">
        <f aca="false">COUNTIF(V_W_q6mcg_Zuord,A49)</f>
        <v>0</v>
      </c>
      <c r="D49" s="28" t="s">
        <v>52</v>
      </c>
      <c r="E49" s="28" t="n">
        <v>38</v>
      </c>
      <c r="F49" s="29" t="s">
        <v>54</v>
      </c>
      <c r="G49" s="30" t="n">
        <v>2</v>
      </c>
      <c r="H49" s="30"/>
      <c r="I49" s="30"/>
      <c r="J49" s="30"/>
      <c r="K49" s="30"/>
      <c r="L49" s="30"/>
      <c r="M49" s="30"/>
      <c r="N49" s="30"/>
      <c r="O49" s="30"/>
      <c r="P49" s="30"/>
      <c r="Q49" s="28" t="n">
        <f aca="false">IF(TRIM(F49)="",0,1)</f>
        <v>1</v>
      </c>
      <c r="R49" s="28" t="n">
        <f aca="false">COUNT(G49:P49)</f>
        <v>1</v>
      </c>
      <c r="S49" s="28" t="n">
        <f aca="false">IF(R49 &gt;= Q49,0,1)</f>
        <v>0</v>
      </c>
      <c r="T49" s="28" t="n">
        <f aca="false">IF(AND(R49 &gt; 0,Q49=0),1,0)</f>
        <v>0</v>
      </c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</row>
    <row r="50" customFormat="false" ht="11.25" hidden="false" customHeight="false" outlineLevel="0" collapsed="false">
      <c r="A50" s="6" t="n">
        <v>50</v>
      </c>
      <c r="B50" s="6" t="n">
        <f aca="false">Codestufen!E51</f>
        <v>0</v>
      </c>
      <c r="C50" s="6" t="n">
        <f aca="false">COUNTIF(V_W_q6mcg_Zuord,A50)</f>
        <v>0</v>
      </c>
      <c r="D50" s="28" t="s">
        <v>52</v>
      </c>
      <c r="E50" s="28" t="n">
        <v>45</v>
      </c>
      <c r="F50" s="29" t="s">
        <v>54</v>
      </c>
      <c r="G50" s="30" t="n">
        <v>2</v>
      </c>
      <c r="H50" s="30"/>
      <c r="I50" s="30"/>
      <c r="J50" s="30"/>
      <c r="K50" s="30"/>
      <c r="L50" s="30"/>
      <c r="M50" s="30"/>
      <c r="N50" s="30"/>
      <c r="O50" s="30"/>
      <c r="P50" s="30"/>
      <c r="Q50" s="28" t="n">
        <f aca="false">IF(TRIM(F50)="",0,1)</f>
        <v>1</v>
      </c>
      <c r="R50" s="28" t="n">
        <f aca="false">COUNT(G50:P50)</f>
        <v>1</v>
      </c>
      <c r="S50" s="28" t="n">
        <f aca="false">IF(R50 &gt;= Q50,0,1)</f>
        <v>0</v>
      </c>
      <c r="T50" s="28" t="n">
        <f aca="false">IF(AND(R50 &gt; 0,Q50=0),1,0)</f>
        <v>0</v>
      </c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</row>
    <row r="51" customFormat="false" ht="11.25" hidden="false" customHeight="false" outlineLevel="0" collapsed="false">
      <c r="A51" s="6" t="n">
        <v>51</v>
      </c>
      <c r="B51" s="6" t="n">
        <f aca="false">Codestufen!E52</f>
        <v>0</v>
      </c>
      <c r="C51" s="6" t="n">
        <f aca="false">COUNTIF(V_W_q6mcg_Zuord,A51)</f>
        <v>0</v>
      </c>
      <c r="D51" s="28" t="s">
        <v>52</v>
      </c>
      <c r="E51" s="28" t="n">
        <v>47</v>
      </c>
      <c r="F51" s="29" t="s">
        <v>54</v>
      </c>
      <c r="G51" s="30" t="n">
        <v>2</v>
      </c>
      <c r="H51" s="30"/>
      <c r="I51" s="30"/>
      <c r="J51" s="30"/>
      <c r="K51" s="30"/>
      <c r="L51" s="30"/>
      <c r="M51" s="30"/>
      <c r="N51" s="30"/>
      <c r="O51" s="30"/>
      <c r="P51" s="30"/>
      <c r="Q51" s="28" t="n">
        <f aca="false">IF(TRIM(F51)="",0,1)</f>
        <v>1</v>
      </c>
      <c r="R51" s="28" t="n">
        <f aca="false">COUNT(G51:P51)</f>
        <v>1</v>
      </c>
      <c r="S51" s="28" t="n">
        <f aca="false">IF(R51 &gt;= Q51,0,1)</f>
        <v>0</v>
      </c>
      <c r="T51" s="28" t="n">
        <f aca="false">IF(AND(R51 &gt; 0,Q51=0),1,0)</f>
        <v>0</v>
      </c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</row>
    <row r="52" customFormat="false" ht="11.25" hidden="false" customHeight="false" outlineLevel="0" collapsed="false">
      <c r="A52" s="6" t="n">
        <v>52</v>
      </c>
      <c r="B52" s="6" t="n">
        <f aca="false">Codestufen!E53</f>
        <v>0</v>
      </c>
      <c r="C52" s="6" t="n">
        <f aca="false">COUNTIF(V_W_q6mcg_Zuord,A52)</f>
        <v>0</v>
      </c>
      <c r="D52" s="28" t="s">
        <v>52</v>
      </c>
      <c r="E52" s="28" t="n">
        <v>55</v>
      </c>
      <c r="F52" s="29" t="s">
        <v>54</v>
      </c>
      <c r="G52" s="30" t="n">
        <v>2</v>
      </c>
      <c r="H52" s="30"/>
      <c r="I52" s="30"/>
      <c r="J52" s="30"/>
      <c r="K52" s="30"/>
      <c r="L52" s="30"/>
      <c r="M52" s="30"/>
      <c r="N52" s="30"/>
      <c r="O52" s="30"/>
      <c r="P52" s="30"/>
      <c r="Q52" s="28" t="n">
        <f aca="false">IF(TRIM(F52)="",0,1)</f>
        <v>1</v>
      </c>
      <c r="R52" s="28" t="n">
        <f aca="false">COUNT(G52:P52)</f>
        <v>1</v>
      </c>
      <c r="S52" s="28" t="n">
        <f aca="false">IF(R52 &gt;= Q52,0,1)</f>
        <v>0</v>
      </c>
      <c r="T52" s="28" t="n">
        <f aca="false">IF(AND(R52 &gt; 0,Q52=0),1,0)</f>
        <v>0</v>
      </c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</row>
    <row r="53" customFormat="false" ht="11.25" hidden="false" customHeight="false" outlineLevel="0" collapsed="false">
      <c r="A53" s="6" t="n">
        <v>53</v>
      </c>
      <c r="B53" s="6" t="n">
        <f aca="false">Codestufen!E54</f>
        <v>0</v>
      </c>
      <c r="C53" s="6" t="n">
        <f aca="false">COUNTIF(V_W_q6mcg_Zuord,A53)</f>
        <v>0</v>
      </c>
      <c r="D53" s="28" t="s">
        <v>52</v>
      </c>
      <c r="E53" s="28" t="n">
        <v>72</v>
      </c>
      <c r="F53" s="29" t="s">
        <v>54</v>
      </c>
      <c r="G53" s="30" t="n">
        <v>2</v>
      </c>
      <c r="H53" s="30"/>
      <c r="I53" s="30"/>
      <c r="J53" s="30"/>
      <c r="K53" s="30"/>
      <c r="L53" s="30"/>
      <c r="M53" s="30"/>
      <c r="N53" s="30"/>
      <c r="O53" s="30"/>
      <c r="P53" s="30"/>
      <c r="Q53" s="28" t="n">
        <f aca="false">IF(TRIM(F53)="",0,1)</f>
        <v>1</v>
      </c>
      <c r="R53" s="28" t="n">
        <f aca="false">COUNT(G53:P53)</f>
        <v>1</v>
      </c>
      <c r="S53" s="28" t="n">
        <f aca="false">IF(R53 &gt;= Q53,0,1)</f>
        <v>0</v>
      </c>
      <c r="T53" s="28" t="n">
        <f aca="false">IF(AND(R53 &gt; 0,Q53=0),1,0)</f>
        <v>0</v>
      </c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</row>
    <row r="54" customFormat="false" ht="11.25" hidden="false" customHeight="false" outlineLevel="0" collapsed="false">
      <c r="A54" s="6" t="n">
        <v>54</v>
      </c>
      <c r="B54" s="6" t="n">
        <f aca="false">Codestufen!E55</f>
        <v>0</v>
      </c>
      <c r="C54" s="6" t="n">
        <f aca="false">COUNTIF(V_W_q6mcg_Zuord,A54)</f>
        <v>0</v>
      </c>
      <c r="D54" s="28" t="s">
        <v>52</v>
      </c>
      <c r="E54" s="28" t="n">
        <v>78</v>
      </c>
      <c r="F54" s="29" t="s">
        <v>54</v>
      </c>
      <c r="G54" s="30" t="n">
        <v>2</v>
      </c>
      <c r="H54" s="30"/>
      <c r="I54" s="30"/>
      <c r="J54" s="30"/>
      <c r="K54" s="30"/>
      <c r="L54" s="30"/>
      <c r="M54" s="30"/>
      <c r="N54" s="30"/>
      <c r="O54" s="30"/>
      <c r="P54" s="30"/>
      <c r="Q54" s="28" t="n">
        <f aca="false">IF(TRIM(F54)="",0,1)</f>
        <v>1</v>
      </c>
      <c r="R54" s="28" t="n">
        <f aca="false">COUNT(G54:P54)</f>
        <v>1</v>
      </c>
      <c r="S54" s="28" t="n">
        <f aca="false">IF(R54 &gt;= Q54,0,1)</f>
        <v>0</v>
      </c>
      <c r="T54" s="28" t="n">
        <f aca="false">IF(AND(R54 &gt; 0,Q54=0),1,0)</f>
        <v>0</v>
      </c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</row>
    <row r="55" customFormat="false" ht="11.25" hidden="false" customHeight="false" outlineLevel="0" collapsed="false">
      <c r="A55" s="6" t="n">
        <v>55</v>
      </c>
      <c r="B55" s="6" t="n">
        <f aca="false">Codestufen!E56</f>
        <v>0</v>
      </c>
      <c r="C55" s="6" t="n">
        <f aca="false">COUNTIF(V_W_q6mcg_Zuord,A55)</f>
        <v>0</v>
      </c>
      <c r="D55" s="28" t="s">
        <v>52</v>
      </c>
      <c r="E55" s="28" t="n">
        <v>88</v>
      </c>
      <c r="F55" s="29" t="s">
        <v>54</v>
      </c>
      <c r="G55" s="30" t="n">
        <v>2</v>
      </c>
      <c r="H55" s="30"/>
      <c r="I55" s="30"/>
      <c r="J55" s="30"/>
      <c r="K55" s="30"/>
      <c r="L55" s="30"/>
      <c r="M55" s="30"/>
      <c r="N55" s="30"/>
      <c r="O55" s="30"/>
      <c r="P55" s="30"/>
      <c r="Q55" s="28" t="n">
        <f aca="false">IF(TRIM(F55)="",0,1)</f>
        <v>1</v>
      </c>
      <c r="R55" s="28" t="n">
        <f aca="false">COUNT(G55:P55)</f>
        <v>1</v>
      </c>
      <c r="S55" s="28" t="n">
        <f aca="false">IF(R55 &gt;= Q55,0,1)</f>
        <v>0</v>
      </c>
      <c r="T55" s="28" t="n">
        <f aca="false">IF(AND(R55 &gt; 0,Q55=0),1,0)</f>
        <v>0</v>
      </c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</row>
    <row r="56" customFormat="false" ht="11.25" hidden="false" customHeight="false" outlineLevel="0" collapsed="false">
      <c r="A56" s="6" t="n">
        <v>56</v>
      </c>
      <c r="B56" s="6" t="n">
        <f aca="false">Codestufen!E57</f>
        <v>0</v>
      </c>
      <c r="C56" s="6" t="n">
        <f aca="false">COUNTIF(V_W_q6mcg_Zuord,A56)</f>
        <v>0</v>
      </c>
      <c r="D56" s="28" t="s">
        <v>52</v>
      </c>
      <c r="E56" s="28" t="n">
        <v>89</v>
      </c>
      <c r="F56" s="29" t="s">
        <v>54</v>
      </c>
      <c r="G56" s="30" t="n">
        <v>2</v>
      </c>
      <c r="H56" s="30"/>
      <c r="I56" s="30"/>
      <c r="J56" s="30"/>
      <c r="K56" s="30"/>
      <c r="L56" s="30"/>
      <c r="M56" s="30"/>
      <c r="N56" s="30"/>
      <c r="O56" s="30"/>
      <c r="P56" s="30"/>
      <c r="Q56" s="28" t="n">
        <f aca="false">IF(TRIM(F56)="",0,1)</f>
        <v>1</v>
      </c>
      <c r="R56" s="28" t="n">
        <f aca="false">COUNT(G56:P56)</f>
        <v>1</v>
      </c>
      <c r="S56" s="28" t="n">
        <f aca="false">IF(R56 &gt;= Q56,0,1)</f>
        <v>0</v>
      </c>
      <c r="T56" s="28" t="n">
        <f aca="false">IF(AND(R56 &gt; 0,Q56=0),1,0)</f>
        <v>0</v>
      </c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</row>
    <row r="57" customFormat="false" ht="11.25" hidden="false" customHeight="false" outlineLevel="0" collapsed="false">
      <c r="A57" s="6" t="n">
        <v>57</v>
      </c>
      <c r="B57" s="6" t="n">
        <f aca="false">Codestufen!E58</f>
        <v>0</v>
      </c>
      <c r="C57" s="6" t="n">
        <f aca="false">COUNTIF(V_W_q6mcg_Zuord,A57)</f>
        <v>0</v>
      </c>
      <c r="D57" s="28" t="s">
        <v>52</v>
      </c>
      <c r="E57" s="28" t="n">
        <v>97</v>
      </c>
      <c r="F57" s="29" t="s">
        <v>54</v>
      </c>
      <c r="G57" s="30" t="n">
        <v>2</v>
      </c>
      <c r="H57" s="30"/>
      <c r="I57" s="30"/>
      <c r="J57" s="30"/>
      <c r="K57" s="30"/>
      <c r="L57" s="30"/>
      <c r="M57" s="30"/>
      <c r="N57" s="30"/>
      <c r="O57" s="30"/>
      <c r="P57" s="30"/>
      <c r="Q57" s="28" t="n">
        <f aca="false">IF(TRIM(F57)="",0,1)</f>
        <v>1</v>
      </c>
      <c r="R57" s="28" t="n">
        <f aca="false">COUNT(G57:P57)</f>
        <v>1</v>
      </c>
      <c r="S57" s="28" t="n">
        <f aca="false">IF(R57 &gt;= Q57,0,1)</f>
        <v>0</v>
      </c>
      <c r="T57" s="28" t="n">
        <f aca="false">IF(AND(R57 &gt; 0,Q57=0),1,0)</f>
        <v>0</v>
      </c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</row>
    <row r="58" customFormat="false" ht="11.25" hidden="false" customHeight="false" outlineLevel="0" collapsed="false">
      <c r="A58" s="6" t="n">
        <v>58</v>
      </c>
      <c r="B58" s="6" t="n">
        <f aca="false">Codestufen!E59</f>
        <v>0</v>
      </c>
      <c r="C58" s="6" t="n">
        <f aca="false">COUNTIF(V_W_q6mcg_Zuord,A58)</f>
        <v>0</v>
      </c>
      <c r="D58" s="28" t="s">
        <v>52</v>
      </c>
      <c r="E58" s="28" t="n">
        <v>5</v>
      </c>
      <c r="F58" s="29" t="s">
        <v>55</v>
      </c>
      <c r="G58" s="30" t="n">
        <v>3</v>
      </c>
      <c r="H58" s="30"/>
      <c r="I58" s="30"/>
      <c r="J58" s="30"/>
      <c r="K58" s="30"/>
      <c r="L58" s="30"/>
      <c r="M58" s="30"/>
      <c r="N58" s="30"/>
      <c r="O58" s="30"/>
      <c r="P58" s="30"/>
      <c r="Q58" s="28" t="n">
        <f aca="false">IF(TRIM(F58)="",0,1)</f>
        <v>1</v>
      </c>
      <c r="R58" s="28" t="n">
        <f aca="false">COUNT(G58:P58)</f>
        <v>1</v>
      </c>
      <c r="S58" s="28" t="n">
        <f aca="false">IF(R58 &gt;= Q58,0,1)</f>
        <v>0</v>
      </c>
      <c r="T58" s="28" t="n">
        <f aca="false">IF(AND(R58 &gt; 0,Q58=0),1,0)</f>
        <v>0</v>
      </c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</row>
    <row r="59" customFormat="false" ht="11.25" hidden="false" customHeight="false" outlineLevel="0" collapsed="false">
      <c r="A59" s="6" t="n">
        <v>59</v>
      </c>
      <c r="B59" s="6" t="n">
        <f aca="false">Codestufen!E60</f>
        <v>0</v>
      </c>
      <c r="C59" s="6" t="n">
        <f aca="false">COUNTIF(V_W_q6mcg_Zuord,A59)</f>
        <v>0</v>
      </c>
      <c r="D59" s="28" t="s">
        <v>52</v>
      </c>
      <c r="E59" s="28" t="n">
        <v>12</v>
      </c>
      <c r="F59" s="29" t="s">
        <v>55</v>
      </c>
      <c r="G59" s="30" t="n">
        <v>3</v>
      </c>
      <c r="H59" s="30"/>
      <c r="I59" s="30"/>
      <c r="J59" s="30"/>
      <c r="K59" s="30"/>
      <c r="L59" s="30"/>
      <c r="M59" s="30"/>
      <c r="N59" s="30"/>
      <c r="O59" s="30"/>
      <c r="P59" s="30"/>
      <c r="Q59" s="28" t="n">
        <f aca="false">IF(TRIM(F59)="",0,1)</f>
        <v>1</v>
      </c>
      <c r="R59" s="28" t="n">
        <f aca="false">COUNT(G59:P59)</f>
        <v>1</v>
      </c>
      <c r="S59" s="28" t="n">
        <f aca="false">IF(R59 &gt;= Q59,0,1)</f>
        <v>0</v>
      </c>
      <c r="T59" s="28" t="n">
        <f aca="false">IF(AND(R59 &gt; 0,Q59=0),1,0)</f>
        <v>0</v>
      </c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</row>
    <row r="60" customFormat="false" ht="11.25" hidden="false" customHeight="false" outlineLevel="0" collapsed="false">
      <c r="A60" s="6" t="n">
        <v>60</v>
      </c>
      <c r="B60" s="6" t="n">
        <f aca="false">Codestufen!E61</f>
        <v>0</v>
      </c>
      <c r="C60" s="6" t="n">
        <f aca="false">COUNTIF(V_W_q6mcg_Zuord,A60)</f>
        <v>0</v>
      </c>
      <c r="D60" s="28" t="s">
        <v>52</v>
      </c>
      <c r="E60" s="28" t="n">
        <v>14</v>
      </c>
      <c r="F60" s="29" t="s">
        <v>55</v>
      </c>
      <c r="G60" s="30" t="n">
        <v>3</v>
      </c>
      <c r="H60" s="30"/>
      <c r="I60" s="30"/>
      <c r="J60" s="30"/>
      <c r="K60" s="30"/>
      <c r="L60" s="30"/>
      <c r="M60" s="30"/>
      <c r="N60" s="30"/>
      <c r="O60" s="30"/>
      <c r="P60" s="30"/>
      <c r="Q60" s="28" t="n">
        <f aca="false">IF(TRIM(F60)="",0,1)</f>
        <v>1</v>
      </c>
      <c r="R60" s="28" t="n">
        <f aca="false">COUNT(G60:P60)</f>
        <v>1</v>
      </c>
      <c r="S60" s="28" t="n">
        <f aca="false">IF(R60 &gt;= Q60,0,1)</f>
        <v>0</v>
      </c>
      <c r="T60" s="28" t="n">
        <f aca="false">IF(AND(R60 &gt; 0,Q60=0),1,0)</f>
        <v>0</v>
      </c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</row>
    <row r="61" customFormat="false" ht="11.25" hidden="false" customHeight="false" outlineLevel="0" collapsed="false">
      <c r="A61" s="6" t="n">
        <v>61</v>
      </c>
      <c r="B61" s="6" t="n">
        <f aca="false">Codestufen!E62</f>
        <v>0</v>
      </c>
      <c r="C61" s="6" t="n">
        <f aca="false">COUNTIF(V_W_q6mcg_Zuord,A61)</f>
        <v>0</v>
      </c>
      <c r="D61" s="28" t="s">
        <v>52</v>
      </c>
      <c r="E61" s="28" t="n">
        <v>39</v>
      </c>
      <c r="F61" s="29" t="s">
        <v>55</v>
      </c>
      <c r="G61" s="30" t="n">
        <v>3</v>
      </c>
      <c r="H61" s="30"/>
      <c r="I61" s="30"/>
      <c r="J61" s="30"/>
      <c r="K61" s="30"/>
      <c r="L61" s="30"/>
      <c r="M61" s="30"/>
      <c r="N61" s="30"/>
      <c r="O61" s="30"/>
      <c r="P61" s="30"/>
      <c r="Q61" s="28" t="n">
        <f aca="false">IF(TRIM(F61)="",0,1)</f>
        <v>1</v>
      </c>
      <c r="R61" s="28" t="n">
        <f aca="false">COUNT(G61:P61)</f>
        <v>1</v>
      </c>
      <c r="S61" s="28" t="n">
        <f aca="false">IF(R61 &gt;= Q61,0,1)</f>
        <v>0</v>
      </c>
      <c r="T61" s="28" t="n">
        <f aca="false">IF(AND(R61 &gt; 0,Q61=0),1,0)</f>
        <v>0</v>
      </c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</row>
    <row r="62" customFormat="false" ht="11.25" hidden="false" customHeight="false" outlineLevel="0" collapsed="false">
      <c r="A62" s="6" t="n">
        <v>62</v>
      </c>
      <c r="B62" s="6" t="n">
        <f aca="false">Codestufen!E63</f>
        <v>0</v>
      </c>
      <c r="C62" s="6" t="n">
        <f aca="false">COUNTIF(V_W_q6mcg_Zuord,A62)</f>
        <v>0</v>
      </c>
      <c r="D62" s="28" t="s">
        <v>52</v>
      </c>
      <c r="E62" s="28" t="n">
        <v>49</v>
      </c>
      <c r="F62" s="29" t="s">
        <v>55</v>
      </c>
      <c r="G62" s="30" t="n">
        <v>3</v>
      </c>
      <c r="H62" s="30"/>
      <c r="I62" s="30"/>
      <c r="J62" s="30"/>
      <c r="K62" s="30"/>
      <c r="L62" s="30"/>
      <c r="M62" s="30"/>
      <c r="N62" s="30"/>
      <c r="O62" s="30"/>
      <c r="P62" s="30"/>
      <c r="Q62" s="28" t="n">
        <f aca="false">IF(TRIM(F62)="",0,1)</f>
        <v>1</v>
      </c>
      <c r="R62" s="28" t="n">
        <f aca="false">COUNT(G62:P62)</f>
        <v>1</v>
      </c>
      <c r="S62" s="28" t="n">
        <f aca="false">IF(R62 &gt;= Q62,0,1)</f>
        <v>0</v>
      </c>
      <c r="T62" s="28" t="n">
        <f aca="false">IF(AND(R62 &gt; 0,Q62=0),1,0)</f>
        <v>0</v>
      </c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</row>
    <row r="63" customFormat="false" ht="11.25" hidden="false" customHeight="false" outlineLevel="0" collapsed="false">
      <c r="A63" s="6" t="n">
        <v>63</v>
      </c>
      <c r="B63" s="6" t="n">
        <f aca="false">Codestufen!E64</f>
        <v>0</v>
      </c>
      <c r="C63" s="6" t="n">
        <f aca="false">COUNTIF(V_W_q6mcg_Zuord,A63)</f>
        <v>0</v>
      </c>
      <c r="D63" s="28" t="s">
        <v>52</v>
      </c>
      <c r="E63" s="28" t="n">
        <v>62</v>
      </c>
      <c r="F63" s="29" t="s">
        <v>55</v>
      </c>
      <c r="G63" s="30" t="n">
        <v>3</v>
      </c>
      <c r="H63" s="30"/>
      <c r="I63" s="30"/>
      <c r="J63" s="30"/>
      <c r="K63" s="30"/>
      <c r="L63" s="30"/>
      <c r="M63" s="30"/>
      <c r="N63" s="30"/>
      <c r="O63" s="30"/>
      <c r="P63" s="30"/>
      <c r="Q63" s="28" t="n">
        <f aca="false">IF(TRIM(F63)="",0,1)</f>
        <v>1</v>
      </c>
      <c r="R63" s="28" t="n">
        <f aca="false">COUNT(G63:P63)</f>
        <v>1</v>
      </c>
      <c r="S63" s="28" t="n">
        <f aca="false">IF(R63 &gt;= Q63,0,1)</f>
        <v>0</v>
      </c>
      <c r="T63" s="28" t="n">
        <f aca="false">IF(AND(R63 &gt; 0,Q63=0),1,0)</f>
        <v>0</v>
      </c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</row>
    <row r="64" customFormat="false" ht="11.25" hidden="false" customHeight="false" outlineLevel="0" collapsed="false">
      <c r="A64" s="6" t="n">
        <v>64</v>
      </c>
      <c r="B64" s="6" t="n">
        <f aca="false">Codestufen!E65</f>
        <v>0</v>
      </c>
      <c r="C64" s="6" t="n">
        <f aca="false">COUNTIF(V_W_q6mcg_Zuord,A64)</f>
        <v>0</v>
      </c>
      <c r="D64" s="28" t="s">
        <v>52</v>
      </c>
      <c r="E64" s="28" t="n">
        <v>79</v>
      </c>
      <c r="F64" s="29" t="s">
        <v>55</v>
      </c>
      <c r="G64" s="30" t="n">
        <v>3</v>
      </c>
      <c r="H64" s="30"/>
      <c r="I64" s="30"/>
      <c r="J64" s="30"/>
      <c r="K64" s="30"/>
      <c r="L64" s="30"/>
      <c r="M64" s="30"/>
      <c r="N64" s="30"/>
      <c r="O64" s="30"/>
      <c r="P64" s="30"/>
      <c r="Q64" s="28" t="n">
        <f aca="false">IF(TRIM(F64)="",0,1)</f>
        <v>1</v>
      </c>
      <c r="R64" s="28" t="n">
        <f aca="false">COUNT(G64:P64)</f>
        <v>1</v>
      </c>
      <c r="S64" s="28" t="n">
        <f aca="false">IF(R64 &gt;= Q64,0,1)</f>
        <v>0</v>
      </c>
      <c r="T64" s="28" t="n">
        <f aca="false">IF(AND(R64 &gt; 0,Q64=0),1,0)</f>
        <v>0</v>
      </c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</row>
    <row r="65" customFormat="false" ht="11.25" hidden="false" customHeight="false" outlineLevel="0" collapsed="false">
      <c r="A65" s="6" t="n">
        <v>65</v>
      </c>
      <c r="B65" s="6" t="n">
        <f aca="false">Codestufen!E66</f>
        <v>0</v>
      </c>
      <c r="C65" s="6" t="n">
        <f aca="false">COUNTIF(V_W_q6mcg_Zuord,A65)</f>
        <v>0</v>
      </c>
      <c r="D65" s="28" t="s">
        <v>52</v>
      </c>
      <c r="E65" s="28" t="n">
        <v>98</v>
      </c>
      <c r="F65" s="29" t="s">
        <v>55</v>
      </c>
      <c r="G65" s="30" t="n">
        <v>3</v>
      </c>
      <c r="H65" s="30"/>
      <c r="I65" s="30"/>
      <c r="J65" s="30"/>
      <c r="K65" s="30"/>
      <c r="L65" s="30"/>
      <c r="M65" s="30"/>
      <c r="N65" s="30"/>
      <c r="O65" s="30"/>
      <c r="P65" s="30"/>
      <c r="Q65" s="28" t="n">
        <f aca="false">IF(TRIM(F65)="",0,1)</f>
        <v>1</v>
      </c>
      <c r="R65" s="28" t="n">
        <f aca="false">COUNT(G65:P65)</f>
        <v>1</v>
      </c>
      <c r="S65" s="28" t="n">
        <f aca="false">IF(R65 &gt;= Q65,0,1)</f>
        <v>0</v>
      </c>
      <c r="T65" s="28" t="n">
        <f aca="false">IF(AND(R65 &gt; 0,Q65=0),1,0)</f>
        <v>0</v>
      </c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</row>
    <row r="66" customFormat="false" ht="11.25" hidden="false" customHeight="false" outlineLevel="0" collapsed="false">
      <c r="A66" s="6" t="n">
        <v>66</v>
      </c>
      <c r="B66" s="6" t="n">
        <f aca="false">Codestufen!E67</f>
        <v>0</v>
      </c>
      <c r="C66" s="6" t="n">
        <f aca="false">COUNTIF(V_W_q6mcg_Zuord,A66)</f>
        <v>0</v>
      </c>
      <c r="D66" s="28" t="s">
        <v>52</v>
      </c>
      <c r="E66" s="28" t="n">
        <v>8</v>
      </c>
      <c r="F66" s="29" t="s">
        <v>56</v>
      </c>
      <c r="G66" s="30" t="n">
        <v>1</v>
      </c>
      <c r="H66" s="30"/>
      <c r="I66" s="30"/>
      <c r="J66" s="30"/>
      <c r="K66" s="30"/>
      <c r="L66" s="30"/>
      <c r="M66" s="30"/>
      <c r="N66" s="30"/>
      <c r="O66" s="30"/>
      <c r="P66" s="30"/>
      <c r="Q66" s="28" t="n">
        <f aca="false">IF(TRIM(F66)="",0,1)</f>
        <v>1</v>
      </c>
      <c r="R66" s="28" t="n">
        <f aca="false">COUNT(G66:P66)</f>
        <v>1</v>
      </c>
      <c r="S66" s="28" t="n">
        <f aca="false">IF(R66 &gt;= Q66,0,1)</f>
        <v>0</v>
      </c>
      <c r="T66" s="28" t="n">
        <f aca="false">IF(AND(R66 &gt; 0,Q66=0),1,0)</f>
        <v>0</v>
      </c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</row>
    <row r="67" customFormat="false" ht="11.25" hidden="false" customHeight="false" outlineLevel="0" collapsed="false">
      <c r="A67" s="6" t="n">
        <v>67</v>
      </c>
      <c r="B67" s="6" t="n">
        <f aca="false">Codestufen!E68</f>
        <v>0</v>
      </c>
      <c r="C67" s="6" t="n">
        <f aca="false">COUNTIF(V_W_q6mcg_Zuord,A67)</f>
        <v>0</v>
      </c>
      <c r="D67" s="28" t="s">
        <v>52</v>
      </c>
      <c r="E67" s="28" t="n">
        <v>9</v>
      </c>
      <c r="F67" s="29" t="s">
        <v>56</v>
      </c>
      <c r="G67" s="30" t="n">
        <v>1</v>
      </c>
      <c r="H67" s="30"/>
      <c r="I67" s="30"/>
      <c r="J67" s="30"/>
      <c r="K67" s="30"/>
      <c r="L67" s="30"/>
      <c r="M67" s="30"/>
      <c r="N67" s="30"/>
      <c r="O67" s="30"/>
      <c r="P67" s="30"/>
      <c r="Q67" s="28" t="n">
        <f aca="false">IF(TRIM(F67)="",0,1)</f>
        <v>1</v>
      </c>
      <c r="R67" s="28" t="n">
        <f aca="false">COUNT(G67:P67)</f>
        <v>1</v>
      </c>
      <c r="S67" s="28" t="n">
        <f aca="false">IF(R67 &gt;= Q67,0,1)</f>
        <v>0</v>
      </c>
      <c r="T67" s="28" t="n">
        <f aca="false">IF(AND(R67 &gt; 0,Q67=0),1,0)</f>
        <v>0</v>
      </c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</row>
    <row r="68" customFormat="false" ht="11.25" hidden="false" customHeight="false" outlineLevel="0" collapsed="false">
      <c r="A68" s="6" t="n">
        <v>68</v>
      </c>
      <c r="B68" s="6" t="n">
        <f aca="false">Codestufen!E69</f>
        <v>0</v>
      </c>
      <c r="C68" s="6" t="n">
        <f aca="false">COUNTIF(V_W_q6mcg_Zuord,A68)</f>
        <v>0</v>
      </c>
      <c r="D68" s="28" t="s">
        <v>52</v>
      </c>
      <c r="E68" s="28" t="n">
        <v>24</v>
      </c>
      <c r="F68" s="29" t="s">
        <v>56</v>
      </c>
      <c r="G68" s="30" t="n">
        <v>1</v>
      </c>
      <c r="H68" s="30"/>
      <c r="I68" s="30"/>
      <c r="J68" s="30"/>
      <c r="K68" s="30"/>
      <c r="L68" s="30"/>
      <c r="M68" s="30"/>
      <c r="N68" s="30"/>
      <c r="O68" s="30"/>
      <c r="P68" s="30"/>
      <c r="Q68" s="28" t="n">
        <f aca="false">IF(TRIM(F68)="",0,1)</f>
        <v>1</v>
      </c>
      <c r="R68" s="28" t="n">
        <f aca="false">COUNT(G68:P68)</f>
        <v>1</v>
      </c>
      <c r="S68" s="28" t="n">
        <f aca="false">IF(R68 &gt;= Q68,0,1)</f>
        <v>0</v>
      </c>
      <c r="T68" s="28" t="n">
        <f aca="false">IF(AND(R68 &gt; 0,Q68=0),1,0)</f>
        <v>0</v>
      </c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</row>
    <row r="69" customFormat="false" ht="11.25" hidden="false" customHeight="false" outlineLevel="0" collapsed="false">
      <c r="A69" s="6" t="n">
        <v>69</v>
      </c>
      <c r="B69" s="6" t="n">
        <f aca="false">Codestufen!E70</f>
        <v>0</v>
      </c>
      <c r="C69" s="6" t="n">
        <f aca="false">COUNTIF(V_W_q6mcg_Zuord,A69)</f>
        <v>0</v>
      </c>
      <c r="D69" s="28" t="s">
        <v>52</v>
      </c>
      <c r="E69" s="28" t="n">
        <v>30</v>
      </c>
      <c r="F69" s="29" t="s">
        <v>56</v>
      </c>
      <c r="G69" s="30" t="n">
        <v>1</v>
      </c>
      <c r="H69" s="30"/>
      <c r="I69" s="30"/>
      <c r="J69" s="30"/>
      <c r="K69" s="30"/>
      <c r="L69" s="30"/>
      <c r="M69" s="30"/>
      <c r="N69" s="30"/>
      <c r="O69" s="30"/>
      <c r="P69" s="30"/>
      <c r="Q69" s="28" t="n">
        <f aca="false">IF(TRIM(F69)="",0,1)</f>
        <v>1</v>
      </c>
      <c r="R69" s="28" t="n">
        <f aca="false">COUNT(G69:P69)</f>
        <v>1</v>
      </c>
      <c r="S69" s="28" t="n">
        <f aca="false">IF(R69 &gt;= Q69,0,1)</f>
        <v>0</v>
      </c>
      <c r="T69" s="28" t="n">
        <f aca="false">IF(AND(R69 &gt; 0,Q69=0),1,0)</f>
        <v>0</v>
      </c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</row>
    <row r="70" customFormat="false" ht="11.25" hidden="false" customHeight="false" outlineLevel="0" collapsed="false">
      <c r="A70" s="6" t="n">
        <v>70</v>
      </c>
      <c r="B70" s="6" t="n">
        <f aca="false">Codestufen!E71</f>
        <v>0</v>
      </c>
      <c r="C70" s="6" t="n">
        <f aca="false">COUNTIF(V_W_q6mcg_Zuord,A70)</f>
        <v>0</v>
      </c>
      <c r="D70" s="28" t="s">
        <v>52</v>
      </c>
      <c r="E70" s="28" t="n">
        <v>32</v>
      </c>
      <c r="F70" s="29" t="s">
        <v>56</v>
      </c>
      <c r="G70" s="30" t="n">
        <v>1</v>
      </c>
      <c r="H70" s="30"/>
      <c r="I70" s="30"/>
      <c r="J70" s="30"/>
      <c r="K70" s="30"/>
      <c r="L70" s="30"/>
      <c r="M70" s="30"/>
      <c r="N70" s="30"/>
      <c r="O70" s="30"/>
      <c r="P70" s="30"/>
      <c r="Q70" s="28" t="n">
        <f aca="false">IF(TRIM(F70)="",0,1)</f>
        <v>1</v>
      </c>
      <c r="R70" s="28" t="n">
        <f aca="false">COUNT(G70:P70)</f>
        <v>1</v>
      </c>
      <c r="S70" s="28" t="n">
        <f aca="false">IF(R70 &gt;= Q70,0,1)</f>
        <v>0</v>
      </c>
      <c r="T70" s="28" t="n">
        <f aca="false">IF(AND(R70 &gt; 0,Q70=0),1,0)</f>
        <v>0</v>
      </c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</row>
    <row r="71" customFormat="false" ht="11.25" hidden="false" customHeight="false" outlineLevel="0" collapsed="false">
      <c r="A71" s="6" t="n">
        <v>71</v>
      </c>
      <c r="B71" s="6" t="n">
        <f aca="false">Codestufen!E72</f>
        <v>0</v>
      </c>
      <c r="C71" s="6" t="n">
        <f aca="false">COUNTIF(V_W_q6mcg_Zuord,A71)</f>
        <v>0</v>
      </c>
      <c r="D71" s="28" t="s">
        <v>52</v>
      </c>
      <c r="E71" s="28" t="n">
        <v>36</v>
      </c>
      <c r="F71" s="29" t="s">
        <v>56</v>
      </c>
      <c r="G71" s="30" t="n">
        <v>1</v>
      </c>
      <c r="H71" s="30"/>
      <c r="I71" s="30"/>
      <c r="J71" s="30"/>
      <c r="K71" s="30"/>
      <c r="L71" s="30"/>
      <c r="M71" s="30"/>
      <c r="N71" s="30"/>
      <c r="O71" s="30"/>
      <c r="P71" s="30"/>
      <c r="Q71" s="28" t="n">
        <f aca="false">IF(TRIM(F71)="",0,1)</f>
        <v>1</v>
      </c>
      <c r="R71" s="28" t="n">
        <f aca="false">COUNT(G71:P71)</f>
        <v>1</v>
      </c>
      <c r="S71" s="28" t="n">
        <f aca="false">IF(R71 &gt;= Q71,0,1)</f>
        <v>0</v>
      </c>
      <c r="T71" s="28" t="n">
        <f aca="false">IF(AND(R71 &gt; 0,Q71=0),1,0)</f>
        <v>0</v>
      </c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</row>
    <row r="72" customFormat="false" ht="11.25" hidden="false" customHeight="false" outlineLevel="0" collapsed="false">
      <c r="A72" s="6" t="n">
        <v>72</v>
      </c>
      <c r="B72" s="6" t="n">
        <f aca="false">Codestufen!E73</f>
        <v>0</v>
      </c>
      <c r="C72" s="6" t="n">
        <f aca="false">COUNTIF(V_W_q6mcg_Zuord,A72)</f>
        <v>0</v>
      </c>
      <c r="D72" s="28" t="s">
        <v>52</v>
      </c>
      <c r="E72" s="28" t="n">
        <v>53</v>
      </c>
      <c r="F72" s="29" t="s">
        <v>56</v>
      </c>
      <c r="G72" s="30" t="n">
        <v>1</v>
      </c>
      <c r="H72" s="30"/>
      <c r="I72" s="30"/>
      <c r="J72" s="30"/>
      <c r="K72" s="30"/>
      <c r="L72" s="30"/>
      <c r="M72" s="30"/>
      <c r="N72" s="30"/>
      <c r="O72" s="30"/>
      <c r="P72" s="30"/>
      <c r="Q72" s="28" t="n">
        <f aca="false">IF(TRIM(F72)="",0,1)</f>
        <v>1</v>
      </c>
      <c r="R72" s="28" t="n">
        <f aca="false">COUNT(G72:P72)</f>
        <v>1</v>
      </c>
      <c r="S72" s="28" t="n">
        <f aca="false">IF(R72 &gt;= Q72,0,1)</f>
        <v>0</v>
      </c>
      <c r="T72" s="28" t="n">
        <f aca="false">IF(AND(R72 &gt; 0,Q72=0),1,0)</f>
        <v>0</v>
      </c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</row>
    <row r="73" customFormat="false" ht="11.25" hidden="false" customHeight="false" outlineLevel="0" collapsed="false">
      <c r="A73" s="6" t="n">
        <v>73</v>
      </c>
      <c r="B73" s="6" t="n">
        <f aca="false">Codestufen!E74</f>
        <v>0</v>
      </c>
      <c r="C73" s="6" t="n">
        <f aca="false">COUNTIF(V_W_q6mcg_Zuord,A73)</f>
        <v>0</v>
      </c>
      <c r="D73" s="28" t="s">
        <v>52</v>
      </c>
      <c r="E73" s="28" t="n">
        <v>61</v>
      </c>
      <c r="F73" s="29" t="s">
        <v>56</v>
      </c>
      <c r="G73" s="30" t="n">
        <v>1</v>
      </c>
      <c r="H73" s="30"/>
      <c r="I73" s="30"/>
      <c r="J73" s="30"/>
      <c r="K73" s="30"/>
      <c r="L73" s="30"/>
      <c r="M73" s="30"/>
      <c r="N73" s="30"/>
      <c r="O73" s="30"/>
      <c r="P73" s="30"/>
      <c r="Q73" s="28" t="n">
        <f aca="false">IF(TRIM(F73)="",0,1)</f>
        <v>1</v>
      </c>
      <c r="R73" s="28" t="n">
        <f aca="false">COUNT(G73:P73)</f>
        <v>1</v>
      </c>
      <c r="S73" s="28" t="n">
        <f aca="false">IF(R73 &gt;= Q73,0,1)</f>
        <v>0</v>
      </c>
      <c r="T73" s="28" t="n">
        <f aca="false">IF(AND(R73 &gt; 0,Q73=0),1,0)</f>
        <v>0</v>
      </c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</row>
    <row r="74" customFormat="false" ht="11.25" hidden="false" customHeight="false" outlineLevel="0" collapsed="false">
      <c r="A74" s="6" t="n">
        <v>74</v>
      </c>
      <c r="B74" s="6" t="n">
        <f aca="false">Codestufen!E75</f>
        <v>0</v>
      </c>
      <c r="C74" s="6" t="n">
        <f aca="false">COUNTIF(V_W_q6mcg_Zuord,A74)</f>
        <v>0</v>
      </c>
      <c r="D74" s="28" t="s">
        <v>52</v>
      </c>
      <c r="E74" s="28" t="n">
        <v>70</v>
      </c>
      <c r="F74" s="29" t="s">
        <v>56</v>
      </c>
      <c r="G74" s="30" t="n">
        <v>1</v>
      </c>
      <c r="H74" s="30"/>
      <c r="I74" s="30"/>
      <c r="J74" s="30"/>
      <c r="K74" s="30"/>
      <c r="L74" s="30"/>
      <c r="M74" s="30"/>
      <c r="N74" s="30"/>
      <c r="O74" s="30"/>
      <c r="P74" s="30"/>
      <c r="Q74" s="28" t="n">
        <f aca="false">IF(TRIM(F74)="",0,1)</f>
        <v>1</v>
      </c>
      <c r="R74" s="28" t="n">
        <f aca="false">COUNT(G74:P74)</f>
        <v>1</v>
      </c>
      <c r="S74" s="28" t="n">
        <f aca="false">IF(R74 &gt;= Q74,0,1)</f>
        <v>0</v>
      </c>
      <c r="T74" s="28" t="n">
        <f aca="false">IF(AND(R74 &gt; 0,Q74=0),1,0)</f>
        <v>0</v>
      </c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</row>
    <row r="75" customFormat="false" ht="11.25" hidden="false" customHeight="false" outlineLevel="0" collapsed="false">
      <c r="A75" s="6" t="n">
        <v>75</v>
      </c>
      <c r="B75" s="6" t="n">
        <f aca="false">Codestufen!E76</f>
        <v>0</v>
      </c>
      <c r="C75" s="6" t="n">
        <f aca="false">COUNTIF(V_W_q6mcg_Zuord,A75)</f>
        <v>0</v>
      </c>
      <c r="D75" s="28" t="s">
        <v>52</v>
      </c>
      <c r="E75" s="28" t="n">
        <v>4</v>
      </c>
      <c r="F75" s="29" t="s">
        <v>57</v>
      </c>
      <c r="G75" s="30" t="n">
        <v>2</v>
      </c>
      <c r="H75" s="30"/>
      <c r="I75" s="30"/>
      <c r="J75" s="30"/>
      <c r="K75" s="30"/>
      <c r="L75" s="30"/>
      <c r="M75" s="30"/>
      <c r="N75" s="30"/>
      <c r="O75" s="30"/>
      <c r="P75" s="30"/>
      <c r="Q75" s="28" t="n">
        <f aca="false">IF(TRIM(F75)="",0,1)</f>
        <v>1</v>
      </c>
      <c r="R75" s="28" t="n">
        <f aca="false">COUNT(G75:P75)</f>
        <v>1</v>
      </c>
      <c r="S75" s="28" t="n">
        <f aca="false">IF(R75 &gt;= Q75,0,1)</f>
        <v>0</v>
      </c>
      <c r="T75" s="28" t="n">
        <f aca="false">IF(AND(R75 &gt; 0,Q75=0),1,0)</f>
        <v>0</v>
      </c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</row>
    <row r="76" customFormat="false" ht="11.25" hidden="false" customHeight="false" outlineLevel="0" collapsed="false">
      <c r="A76" s="6" t="n">
        <v>76</v>
      </c>
      <c r="B76" s="6" t="n">
        <f aca="false">Codestufen!E77</f>
        <v>0</v>
      </c>
      <c r="C76" s="6" t="n">
        <f aca="false">COUNTIF(V_W_q6mcg_Zuord,A76)</f>
        <v>0</v>
      </c>
      <c r="D76" s="28" t="s">
        <v>52</v>
      </c>
      <c r="E76" s="28" t="n">
        <v>6</v>
      </c>
      <c r="F76" s="29" t="s">
        <v>57</v>
      </c>
      <c r="G76" s="30" t="n">
        <v>2</v>
      </c>
      <c r="H76" s="30"/>
      <c r="I76" s="30"/>
      <c r="J76" s="30"/>
      <c r="K76" s="30"/>
      <c r="L76" s="30"/>
      <c r="M76" s="30"/>
      <c r="N76" s="30"/>
      <c r="O76" s="30"/>
      <c r="P76" s="30"/>
      <c r="Q76" s="28" t="n">
        <f aca="false">IF(TRIM(F76)="",0,1)</f>
        <v>1</v>
      </c>
      <c r="R76" s="28" t="n">
        <f aca="false">COUNT(G76:P76)</f>
        <v>1</v>
      </c>
      <c r="S76" s="28" t="n">
        <f aca="false">IF(R76 &gt;= Q76,0,1)</f>
        <v>0</v>
      </c>
      <c r="T76" s="28" t="n">
        <f aca="false">IF(AND(R76 &gt; 0,Q76=0),1,0)</f>
        <v>0</v>
      </c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</row>
    <row r="77" customFormat="false" ht="11.25" hidden="false" customHeight="false" outlineLevel="0" collapsed="false">
      <c r="A77" s="6" t="n">
        <v>77</v>
      </c>
      <c r="B77" s="6" t="n">
        <f aca="false">Codestufen!E78</f>
        <v>0</v>
      </c>
      <c r="C77" s="6" t="n">
        <f aca="false">COUNTIF(V_W_q6mcg_Zuord,A77)</f>
        <v>0</v>
      </c>
      <c r="D77" s="28" t="s">
        <v>52</v>
      </c>
      <c r="E77" s="28" t="n">
        <v>19</v>
      </c>
      <c r="F77" s="29" t="s">
        <v>57</v>
      </c>
      <c r="G77" s="30" t="n">
        <v>2</v>
      </c>
      <c r="H77" s="30"/>
      <c r="I77" s="30"/>
      <c r="J77" s="30"/>
      <c r="K77" s="30"/>
      <c r="L77" s="30"/>
      <c r="M77" s="30"/>
      <c r="N77" s="30"/>
      <c r="O77" s="30"/>
      <c r="P77" s="30"/>
      <c r="Q77" s="28" t="n">
        <f aca="false">IF(TRIM(F77)="",0,1)</f>
        <v>1</v>
      </c>
      <c r="R77" s="28" t="n">
        <f aca="false">COUNT(G77:P77)</f>
        <v>1</v>
      </c>
      <c r="S77" s="28" t="n">
        <f aca="false">IF(R77 &gt;= Q77,0,1)</f>
        <v>0</v>
      </c>
      <c r="T77" s="28" t="n">
        <f aca="false">IF(AND(R77 &gt; 0,Q77=0),1,0)</f>
        <v>0</v>
      </c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</row>
    <row r="78" customFormat="false" ht="11.25" hidden="false" customHeight="false" outlineLevel="0" collapsed="false">
      <c r="A78" s="6" t="n">
        <v>78</v>
      </c>
      <c r="B78" s="6" t="n">
        <f aca="false">Codestufen!E79</f>
        <v>0</v>
      </c>
      <c r="C78" s="6" t="n">
        <f aca="false">COUNTIF(V_W_q6mcg_Zuord,A78)</f>
        <v>0</v>
      </c>
      <c r="D78" s="28" t="s">
        <v>52</v>
      </c>
      <c r="E78" s="28" t="n">
        <v>25</v>
      </c>
      <c r="F78" s="29" t="s">
        <v>57</v>
      </c>
      <c r="G78" s="30" t="n">
        <v>2</v>
      </c>
      <c r="H78" s="30"/>
      <c r="I78" s="30"/>
      <c r="J78" s="30"/>
      <c r="K78" s="30"/>
      <c r="L78" s="30"/>
      <c r="M78" s="30"/>
      <c r="N78" s="30"/>
      <c r="O78" s="30"/>
      <c r="P78" s="30"/>
      <c r="Q78" s="28" t="n">
        <f aca="false">IF(TRIM(F78)="",0,1)</f>
        <v>1</v>
      </c>
      <c r="R78" s="28" t="n">
        <f aca="false">COUNT(G78:P78)</f>
        <v>1</v>
      </c>
      <c r="S78" s="28" t="n">
        <f aca="false">IF(R78 &gt;= Q78,0,1)</f>
        <v>0</v>
      </c>
      <c r="T78" s="28" t="n">
        <f aca="false">IF(AND(R78 &gt; 0,Q78=0),1,0)</f>
        <v>0</v>
      </c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</row>
    <row r="79" customFormat="false" ht="11.25" hidden="false" customHeight="false" outlineLevel="0" collapsed="false">
      <c r="A79" s="6" t="n">
        <v>79</v>
      </c>
      <c r="B79" s="6" t="n">
        <f aca="false">Codestufen!E80</f>
        <v>0</v>
      </c>
      <c r="C79" s="6" t="n">
        <f aca="false">COUNTIF(V_W_q6mcg_Zuord,A79)</f>
        <v>0</v>
      </c>
      <c r="D79" s="28" t="s">
        <v>52</v>
      </c>
      <c r="E79" s="28" t="n">
        <v>28</v>
      </c>
      <c r="F79" s="29" t="s">
        <v>57</v>
      </c>
      <c r="G79" s="30" t="n">
        <v>2</v>
      </c>
      <c r="H79" s="30"/>
      <c r="I79" s="30"/>
      <c r="J79" s="30"/>
      <c r="K79" s="30"/>
      <c r="L79" s="30"/>
      <c r="M79" s="30"/>
      <c r="N79" s="30"/>
      <c r="O79" s="30"/>
      <c r="P79" s="30"/>
      <c r="Q79" s="28" t="n">
        <f aca="false">IF(TRIM(F79)="",0,1)</f>
        <v>1</v>
      </c>
      <c r="R79" s="28" t="n">
        <f aca="false">COUNT(G79:P79)</f>
        <v>1</v>
      </c>
      <c r="S79" s="28" t="n">
        <f aca="false">IF(R79 &gt;= Q79,0,1)</f>
        <v>0</v>
      </c>
      <c r="T79" s="28" t="n">
        <f aca="false">IF(AND(R79 &gt; 0,Q79=0),1,0)</f>
        <v>0</v>
      </c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</row>
    <row r="80" customFormat="false" ht="11.25" hidden="false" customHeight="false" outlineLevel="0" collapsed="false">
      <c r="A80" s="6" t="n">
        <v>80</v>
      </c>
      <c r="B80" s="6" t="n">
        <f aca="false">Codestufen!E81</f>
        <v>0</v>
      </c>
      <c r="C80" s="6" t="n">
        <f aca="false">COUNTIF(V_W_q6mcg_Zuord,A80)</f>
        <v>0</v>
      </c>
      <c r="D80" s="28" t="s">
        <v>52</v>
      </c>
      <c r="E80" s="28" t="n">
        <v>34</v>
      </c>
      <c r="F80" s="29" t="s">
        <v>57</v>
      </c>
      <c r="G80" s="30" t="n">
        <v>2</v>
      </c>
      <c r="H80" s="30"/>
      <c r="I80" s="30"/>
      <c r="J80" s="30"/>
      <c r="K80" s="30"/>
      <c r="L80" s="30"/>
      <c r="M80" s="30"/>
      <c r="N80" s="30"/>
      <c r="O80" s="30"/>
      <c r="P80" s="30"/>
      <c r="Q80" s="28" t="n">
        <f aca="false">IF(TRIM(F80)="",0,1)</f>
        <v>1</v>
      </c>
      <c r="R80" s="28" t="n">
        <f aca="false">COUNT(G80:P80)</f>
        <v>1</v>
      </c>
      <c r="S80" s="28" t="n">
        <f aca="false">IF(R80 &gt;= Q80,0,1)</f>
        <v>0</v>
      </c>
      <c r="T80" s="28" t="n">
        <f aca="false">IF(AND(R80 &gt; 0,Q80=0),1,0)</f>
        <v>0</v>
      </c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</row>
    <row r="81" customFormat="false" ht="11.25" hidden="false" customHeight="false" outlineLevel="0" collapsed="false">
      <c r="A81" s="6" t="n">
        <v>81</v>
      </c>
      <c r="B81" s="6" t="n">
        <f aca="false">Codestufen!E82</f>
        <v>0</v>
      </c>
      <c r="C81" s="6" t="n">
        <f aca="false">COUNTIF(V_W_q6mcg_Zuord,A81)</f>
        <v>0</v>
      </c>
      <c r="D81" s="28" t="s">
        <v>52</v>
      </c>
      <c r="E81" s="28" t="n">
        <v>44</v>
      </c>
      <c r="F81" s="29" t="s">
        <v>57</v>
      </c>
      <c r="G81" s="30" t="n">
        <v>2</v>
      </c>
      <c r="H81" s="30"/>
      <c r="I81" s="30"/>
      <c r="J81" s="30"/>
      <c r="K81" s="30"/>
      <c r="L81" s="30"/>
      <c r="M81" s="30"/>
      <c r="N81" s="30"/>
      <c r="O81" s="30"/>
      <c r="P81" s="30"/>
      <c r="Q81" s="28" t="n">
        <f aca="false">IF(TRIM(F81)="",0,1)</f>
        <v>1</v>
      </c>
      <c r="R81" s="28" t="n">
        <f aca="false">COUNT(G81:P81)</f>
        <v>1</v>
      </c>
      <c r="S81" s="28" t="n">
        <f aca="false">IF(R81 &gt;= Q81,0,1)</f>
        <v>0</v>
      </c>
      <c r="T81" s="28" t="n">
        <f aca="false">IF(AND(R81 &gt; 0,Q81=0),1,0)</f>
        <v>0</v>
      </c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</row>
    <row r="82" customFormat="false" ht="11.25" hidden="false" customHeight="false" outlineLevel="0" collapsed="false">
      <c r="A82" s="6" t="n">
        <v>82</v>
      </c>
      <c r="B82" s="6" t="n">
        <f aca="false">Codestufen!E83</f>
        <v>0</v>
      </c>
      <c r="C82" s="6" t="n">
        <f aca="false">COUNTIF(V_W_q6mcg_Zuord,A82)</f>
        <v>0</v>
      </c>
      <c r="D82" s="28" t="s">
        <v>52</v>
      </c>
      <c r="E82" s="28" t="n">
        <v>52</v>
      </c>
      <c r="F82" s="29" t="s">
        <v>57</v>
      </c>
      <c r="G82" s="30" t="n">
        <v>2</v>
      </c>
      <c r="H82" s="30"/>
      <c r="I82" s="30"/>
      <c r="J82" s="30"/>
      <c r="K82" s="30"/>
      <c r="L82" s="30"/>
      <c r="M82" s="30"/>
      <c r="N82" s="30"/>
      <c r="O82" s="30"/>
      <c r="P82" s="30"/>
      <c r="Q82" s="28" t="n">
        <f aca="false">IF(TRIM(F82)="",0,1)</f>
        <v>1</v>
      </c>
      <c r="R82" s="28" t="n">
        <f aca="false">COUNT(G82:P82)</f>
        <v>1</v>
      </c>
      <c r="S82" s="28" t="n">
        <f aca="false">IF(R82 &gt;= Q82,0,1)</f>
        <v>0</v>
      </c>
      <c r="T82" s="28" t="n">
        <f aca="false">IF(AND(R82 &gt; 0,Q82=0),1,0)</f>
        <v>0</v>
      </c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</row>
    <row r="83" customFormat="false" ht="11.25" hidden="false" customHeight="false" outlineLevel="0" collapsed="false">
      <c r="A83" s="6" t="n">
        <v>83</v>
      </c>
      <c r="B83" s="6" t="n">
        <f aca="false">Codestufen!E84</f>
        <v>0</v>
      </c>
      <c r="C83" s="6" t="n">
        <f aca="false">COUNTIF(V_W_q6mcg_Zuord,A83)</f>
        <v>0</v>
      </c>
      <c r="D83" s="28" t="s">
        <v>52</v>
      </c>
      <c r="E83" s="28" t="n">
        <v>54</v>
      </c>
      <c r="F83" s="29" t="s">
        <v>57</v>
      </c>
      <c r="G83" s="30" t="n">
        <v>2</v>
      </c>
      <c r="H83" s="30"/>
      <c r="I83" s="30"/>
      <c r="J83" s="30"/>
      <c r="K83" s="30"/>
      <c r="L83" s="30"/>
      <c r="M83" s="30"/>
      <c r="N83" s="30"/>
      <c r="O83" s="30"/>
      <c r="P83" s="30"/>
      <c r="Q83" s="28" t="n">
        <f aca="false">IF(TRIM(F83)="",0,1)</f>
        <v>1</v>
      </c>
      <c r="R83" s="28" t="n">
        <f aca="false">COUNT(G83:P83)</f>
        <v>1</v>
      </c>
      <c r="S83" s="28" t="n">
        <f aca="false">IF(R83 &gt;= Q83,0,1)</f>
        <v>0</v>
      </c>
      <c r="T83" s="28" t="n">
        <f aca="false">IF(AND(R83 &gt; 0,Q83=0),1,0)</f>
        <v>0</v>
      </c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</row>
    <row r="84" customFormat="false" ht="11.25" hidden="false" customHeight="false" outlineLevel="0" collapsed="false">
      <c r="A84" s="6" t="n">
        <v>84</v>
      </c>
      <c r="B84" s="6" t="n">
        <f aca="false">Codestufen!E85</f>
        <v>0</v>
      </c>
      <c r="C84" s="6" t="n">
        <f aca="false">COUNTIF(V_W_q6mcg_Zuord,A84)</f>
        <v>0</v>
      </c>
      <c r="D84" s="28" t="s">
        <v>52</v>
      </c>
      <c r="E84" s="28" t="n">
        <v>56</v>
      </c>
      <c r="F84" s="29" t="s">
        <v>57</v>
      </c>
      <c r="G84" s="30" t="n">
        <v>2</v>
      </c>
      <c r="H84" s="30"/>
      <c r="I84" s="30"/>
      <c r="J84" s="30"/>
      <c r="K84" s="30"/>
      <c r="L84" s="30"/>
      <c r="M84" s="30"/>
      <c r="N84" s="30"/>
      <c r="O84" s="30"/>
      <c r="P84" s="30"/>
      <c r="Q84" s="28" t="n">
        <f aca="false">IF(TRIM(F84)="",0,1)</f>
        <v>1</v>
      </c>
      <c r="R84" s="28" t="n">
        <f aca="false">COUNT(G84:P84)</f>
        <v>1</v>
      </c>
      <c r="S84" s="28" t="n">
        <f aca="false">IF(R84 &gt;= Q84,0,1)</f>
        <v>0</v>
      </c>
      <c r="T84" s="28" t="n">
        <f aca="false">IF(AND(R84 &gt; 0,Q84=0),1,0)</f>
        <v>0</v>
      </c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</row>
    <row r="85" customFormat="false" ht="11.25" hidden="false" customHeight="false" outlineLevel="0" collapsed="false">
      <c r="A85" s="6" t="n">
        <v>85</v>
      </c>
      <c r="B85" s="6" t="n">
        <f aca="false">Codestufen!E86</f>
        <v>0</v>
      </c>
      <c r="C85" s="6" t="n">
        <f aca="false">COUNTIF(V_W_q6mcg_Zuord,A85)</f>
        <v>0</v>
      </c>
      <c r="D85" s="28" t="s">
        <v>52</v>
      </c>
      <c r="E85" s="28" t="n">
        <v>57</v>
      </c>
      <c r="F85" s="29" t="s">
        <v>57</v>
      </c>
      <c r="G85" s="30" t="n">
        <v>2</v>
      </c>
      <c r="H85" s="30"/>
      <c r="I85" s="30"/>
      <c r="J85" s="30"/>
      <c r="K85" s="30"/>
      <c r="L85" s="30"/>
      <c r="M85" s="30"/>
      <c r="N85" s="30"/>
      <c r="O85" s="30"/>
      <c r="P85" s="30"/>
      <c r="Q85" s="28" t="n">
        <f aca="false">IF(TRIM(F85)="",0,1)</f>
        <v>1</v>
      </c>
      <c r="R85" s="28" t="n">
        <f aca="false">COUNT(G85:P85)</f>
        <v>1</v>
      </c>
      <c r="S85" s="28" t="n">
        <f aca="false">IF(R85 &gt;= Q85,0,1)</f>
        <v>0</v>
      </c>
      <c r="T85" s="28" t="n">
        <f aca="false">IF(AND(R85 &gt; 0,Q85=0),1,0)</f>
        <v>0</v>
      </c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</row>
    <row r="86" customFormat="false" ht="11.25" hidden="false" customHeight="false" outlineLevel="0" collapsed="false">
      <c r="A86" s="6" t="n">
        <v>86</v>
      </c>
      <c r="B86" s="6" t="n">
        <f aca="false">Codestufen!E87</f>
        <v>0</v>
      </c>
      <c r="C86" s="6" t="n">
        <f aca="false">COUNTIF(V_W_q6mcg_Zuord,A86)</f>
        <v>0</v>
      </c>
      <c r="D86" s="28" t="s">
        <v>52</v>
      </c>
      <c r="E86" s="28" t="n">
        <v>66</v>
      </c>
      <c r="F86" s="29" t="s">
        <v>57</v>
      </c>
      <c r="G86" s="30" t="n">
        <v>2</v>
      </c>
      <c r="H86" s="30"/>
      <c r="I86" s="30"/>
      <c r="J86" s="30"/>
      <c r="K86" s="30"/>
      <c r="L86" s="30"/>
      <c r="M86" s="30"/>
      <c r="N86" s="30"/>
      <c r="O86" s="30"/>
      <c r="P86" s="30"/>
      <c r="Q86" s="28" t="n">
        <f aca="false">IF(TRIM(F86)="",0,1)</f>
        <v>1</v>
      </c>
      <c r="R86" s="28" t="n">
        <f aca="false">COUNT(G86:P86)</f>
        <v>1</v>
      </c>
      <c r="S86" s="28" t="n">
        <f aca="false">IF(R86 &gt;= Q86,0,1)</f>
        <v>0</v>
      </c>
      <c r="T86" s="28" t="n">
        <f aca="false">IF(AND(R86 &gt; 0,Q86=0),1,0)</f>
        <v>0</v>
      </c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</row>
    <row r="87" customFormat="false" ht="11.25" hidden="false" customHeight="false" outlineLevel="0" collapsed="false">
      <c r="A87" s="6" t="n">
        <v>87</v>
      </c>
      <c r="B87" s="6" t="n">
        <f aca="false">Codestufen!E88</f>
        <v>0</v>
      </c>
      <c r="C87" s="6" t="n">
        <f aca="false">COUNTIF(V_W_q6mcg_Zuord,A87)</f>
        <v>0</v>
      </c>
      <c r="D87" s="28" t="s">
        <v>52</v>
      </c>
      <c r="E87" s="28" t="n">
        <v>71</v>
      </c>
      <c r="F87" s="29" t="s">
        <v>57</v>
      </c>
      <c r="G87" s="30" t="n">
        <v>2</v>
      </c>
      <c r="H87" s="30"/>
      <c r="I87" s="30"/>
      <c r="J87" s="30"/>
      <c r="K87" s="30"/>
      <c r="L87" s="30"/>
      <c r="M87" s="30"/>
      <c r="N87" s="30"/>
      <c r="O87" s="30"/>
      <c r="P87" s="30"/>
      <c r="Q87" s="28" t="n">
        <f aca="false">IF(TRIM(F87)="",0,1)</f>
        <v>1</v>
      </c>
      <c r="R87" s="28" t="n">
        <f aca="false">COUNT(G87:P87)</f>
        <v>1</v>
      </c>
      <c r="S87" s="28" t="n">
        <f aca="false">IF(R87 &gt;= Q87,0,1)</f>
        <v>0</v>
      </c>
      <c r="T87" s="28" t="n">
        <f aca="false">IF(AND(R87 &gt; 0,Q87=0),1,0)</f>
        <v>0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</row>
    <row r="88" customFormat="false" ht="11.25" hidden="false" customHeight="false" outlineLevel="0" collapsed="false">
      <c r="A88" s="6" t="n">
        <v>88</v>
      </c>
      <c r="B88" s="6" t="n">
        <f aca="false">Codestufen!E89</f>
        <v>0</v>
      </c>
      <c r="C88" s="6" t="n">
        <f aca="false">COUNTIF(V_W_q6mcg_Zuord,A88)</f>
        <v>0</v>
      </c>
      <c r="D88" s="28" t="s">
        <v>52</v>
      </c>
      <c r="E88" s="28" t="n">
        <v>77</v>
      </c>
      <c r="F88" s="29" t="s">
        <v>57</v>
      </c>
      <c r="G88" s="30" t="n">
        <v>2</v>
      </c>
      <c r="H88" s="30"/>
      <c r="I88" s="30"/>
      <c r="J88" s="30"/>
      <c r="K88" s="30"/>
      <c r="L88" s="30"/>
      <c r="M88" s="30"/>
      <c r="N88" s="30"/>
      <c r="O88" s="30"/>
      <c r="P88" s="30"/>
      <c r="Q88" s="28" t="n">
        <f aca="false">IF(TRIM(F88)="",0,1)</f>
        <v>1</v>
      </c>
      <c r="R88" s="28" t="n">
        <f aca="false">COUNT(G88:P88)</f>
        <v>1</v>
      </c>
      <c r="S88" s="28" t="n">
        <f aca="false">IF(R88 &gt;= Q88,0,1)</f>
        <v>0</v>
      </c>
      <c r="T88" s="28" t="n">
        <f aca="false">IF(AND(R88 &gt; 0,Q88=0),1,0)</f>
        <v>0</v>
      </c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</row>
    <row r="89" customFormat="false" ht="11.25" hidden="false" customHeight="false" outlineLevel="0" collapsed="false">
      <c r="A89" s="6" t="n">
        <v>89</v>
      </c>
      <c r="B89" s="6" t="n">
        <f aca="false">Codestufen!E90</f>
        <v>0</v>
      </c>
      <c r="C89" s="6" t="n">
        <f aca="false">COUNTIF(V_W_q6mcg_Zuord,A89)</f>
        <v>0</v>
      </c>
      <c r="D89" s="28" t="s">
        <v>52</v>
      </c>
      <c r="E89" s="28" t="n">
        <v>83</v>
      </c>
      <c r="F89" s="29" t="s">
        <v>57</v>
      </c>
      <c r="G89" s="30" t="n">
        <v>2</v>
      </c>
      <c r="H89" s="30"/>
      <c r="I89" s="30"/>
      <c r="J89" s="30"/>
      <c r="K89" s="30"/>
      <c r="L89" s="30"/>
      <c r="M89" s="30"/>
      <c r="N89" s="30"/>
      <c r="O89" s="30"/>
      <c r="P89" s="30"/>
      <c r="Q89" s="28" t="n">
        <f aca="false">IF(TRIM(F89)="",0,1)</f>
        <v>1</v>
      </c>
      <c r="R89" s="28" t="n">
        <f aca="false">COUNT(G89:P89)</f>
        <v>1</v>
      </c>
      <c r="S89" s="28" t="n">
        <f aca="false">IF(R89 &gt;= Q89,0,1)</f>
        <v>0</v>
      </c>
      <c r="T89" s="28" t="n">
        <f aca="false">IF(AND(R89 &gt; 0,Q89=0),1,0)</f>
        <v>0</v>
      </c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</row>
    <row r="90" customFormat="false" ht="11.25" hidden="false" customHeight="false" outlineLevel="0" collapsed="false">
      <c r="A90" s="6" t="n">
        <v>90</v>
      </c>
      <c r="B90" s="6" t="n">
        <f aca="false">Codestufen!E91</f>
        <v>0</v>
      </c>
      <c r="C90" s="6" t="n">
        <f aca="false">COUNTIF(V_W_q6mcg_Zuord,A90)</f>
        <v>0</v>
      </c>
      <c r="D90" s="28" t="s">
        <v>52</v>
      </c>
      <c r="E90" s="28" t="n">
        <v>85</v>
      </c>
      <c r="F90" s="29" t="s">
        <v>57</v>
      </c>
      <c r="G90" s="30" t="n">
        <v>2</v>
      </c>
      <c r="H90" s="30"/>
      <c r="I90" s="30"/>
      <c r="J90" s="30"/>
      <c r="K90" s="30"/>
      <c r="L90" s="30"/>
      <c r="M90" s="30"/>
      <c r="N90" s="30"/>
      <c r="O90" s="30"/>
      <c r="P90" s="30"/>
      <c r="Q90" s="28" t="n">
        <f aca="false">IF(TRIM(F90)="",0,1)</f>
        <v>1</v>
      </c>
      <c r="R90" s="28" t="n">
        <f aca="false">COUNT(G90:P90)</f>
        <v>1</v>
      </c>
      <c r="S90" s="28" t="n">
        <f aca="false">IF(R90 &gt;= Q90,0,1)</f>
        <v>0</v>
      </c>
      <c r="T90" s="28" t="n">
        <f aca="false">IF(AND(R90 &gt; 0,Q90=0),1,0)</f>
        <v>0</v>
      </c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</row>
    <row r="91" customFormat="false" ht="11.25" hidden="false" customHeight="false" outlineLevel="0" collapsed="false">
      <c r="A91" s="6" t="n">
        <v>91</v>
      </c>
      <c r="B91" s="6" t="n">
        <f aca="false">Codestufen!E92</f>
        <v>0</v>
      </c>
      <c r="C91" s="6" t="n">
        <f aca="false">COUNTIF(V_W_q6mcg_Zuord,A91)</f>
        <v>0</v>
      </c>
      <c r="D91" s="28" t="s">
        <v>52</v>
      </c>
      <c r="E91" s="28" t="n">
        <v>90</v>
      </c>
      <c r="F91" s="29" t="s">
        <v>57</v>
      </c>
      <c r="G91" s="30" t="n">
        <v>2</v>
      </c>
      <c r="H91" s="30"/>
      <c r="I91" s="30"/>
      <c r="J91" s="30"/>
      <c r="K91" s="30"/>
      <c r="L91" s="30"/>
      <c r="M91" s="30"/>
      <c r="N91" s="30"/>
      <c r="O91" s="30"/>
      <c r="P91" s="30"/>
      <c r="Q91" s="28" t="n">
        <f aca="false">IF(TRIM(F91)="",0,1)</f>
        <v>1</v>
      </c>
      <c r="R91" s="28" t="n">
        <f aca="false">COUNT(G91:P91)</f>
        <v>1</v>
      </c>
      <c r="S91" s="28" t="n">
        <f aca="false">IF(R91 &gt;= Q91,0,1)</f>
        <v>0</v>
      </c>
      <c r="T91" s="28" t="n">
        <f aca="false">IF(AND(R91 &gt; 0,Q91=0),1,0)</f>
        <v>0</v>
      </c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</row>
    <row r="92" customFormat="false" ht="11.25" hidden="false" customHeight="false" outlineLevel="0" collapsed="false">
      <c r="A92" s="6" t="n">
        <v>92</v>
      </c>
      <c r="B92" s="6" t="n">
        <f aca="false">Codestufen!E93</f>
        <v>0</v>
      </c>
      <c r="C92" s="6" t="n">
        <f aca="false">COUNTIF(V_W_q6mcg_Zuord,A92)</f>
        <v>0</v>
      </c>
      <c r="D92" s="28" t="s">
        <v>52</v>
      </c>
      <c r="E92" s="28" t="n">
        <v>94</v>
      </c>
      <c r="F92" s="29" t="s">
        <v>57</v>
      </c>
      <c r="G92" s="30" t="n">
        <v>2</v>
      </c>
      <c r="H92" s="30"/>
      <c r="I92" s="30"/>
      <c r="J92" s="30"/>
      <c r="K92" s="30"/>
      <c r="L92" s="30"/>
      <c r="M92" s="30"/>
      <c r="N92" s="30"/>
      <c r="O92" s="30"/>
      <c r="P92" s="30"/>
      <c r="Q92" s="28" t="n">
        <f aca="false">IF(TRIM(F92)="",0,1)</f>
        <v>1</v>
      </c>
      <c r="R92" s="28" t="n">
        <f aca="false">COUNT(G92:P92)</f>
        <v>1</v>
      </c>
      <c r="S92" s="28" t="n">
        <f aca="false">IF(R92 &gt;= Q92,0,1)</f>
        <v>0</v>
      </c>
      <c r="T92" s="28" t="n">
        <f aca="false">IF(AND(R92 &gt; 0,Q92=0),1,0)</f>
        <v>0</v>
      </c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</row>
    <row r="93" customFormat="false" ht="11.25" hidden="false" customHeight="false" outlineLevel="0" collapsed="false">
      <c r="A93" s="6" t="n">
        <v>93</v>
      </c>
      <c r="B93" s="6" t="n">
        <f aca="false">Codestufen!E94</f>
        <v>0</v>
      </c>
      <c r="C93" s="6" t="n">
        <f aca="false">COUNTIF(V_W_q6mcg_Zuord,A93)</f>
        <v>0</v>
      </c>
      <c r="D93" s="28" t="s">
        <v>52</v>
      </c>
      <c r="E93" s="28" t="n">
        <v>96</v>
      </c>
      <c r="F93" s="29" t="s">
        <v>57</v>
      </c>
      <c r="G93" s="30" t="n">
        <v>2</v>
      </c>
      <c r="H93" s="30"/>
      <c r="I93" s="30"/>
      <c r="J93" s="30"/>
      <c r="K93" s="30"/>
      <c r="L93" s="30"/>
      <c r="M93" s="30"/>
      <c r="N93" s="30"/>
      <c r="O93" s="30"/>
      <c r="P93" s="30"/>
      <c r="Q93" s="28" t="n">
        <f aca="false">IF(TRIM(F93)="",0,1)</f>
        <v>1</v>
      </c>
      <c r="R93" s="28" t="n">
        <f aca="false">COUNT(G93:P93)</f>
        <v>1</v>
      </c>
      <c r="S93" s="28" t="n">
        <f aca="false">IF(R93 &gt;= Q93,0,1)</f>
        <v>0</v>
      </c>
      <c r="T93" s="28" t="n">
        <f aca="false">IF(AND(R93 &gt; 0,Q93=0),1,0)</f>
        <v>0</v>
      </c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</row>
    <row r="94" customFormat="false" ht="11.25" hidden="false" customHeight="false" outlineLevel="0" collapsed="false">
      <c r="A94" s="6" t="n">
        <v>94</v>
      </c>
      <c r="B94" s="6" t="n">
        <f aca="false">Codestufen!E95</f>
        <v>0</v>
      </c>
      <c r="C94" s="6" t="n">
        <f aca="false">COUNTIF(V_W_q6mcg_Zuord,A94)</f>
        <v>0</v>
      </c>
      <c r="D94" s="28" t="s">
        <v>52</v>
      </c>
      <c r="E94" s="28" t="n">
        <v>2</v>
      </c>
      <c r="F94" s="29" t="s">
        <v>58</v>
      </c>
      <c r="G94" s="30" t="n">
        <v>3</v>
      </c>
      <c r="H94" s="30"/>
      <c r="I94" s="30"/>
      <c r="J94" s="30"/>
      <c r="K94" s="30"/>
      <c r="L94" s="30"/>
      <c r="M94" s="30"/>
      <c r="N94" s="30"/>
      <c r="O94" s="30"/>
      <c r="P94" s="30"/>
      <c r="Q94" s="28" t="n">
        <f aca="false">IF(TRIM(F94)="",0,1)</f>
        <v>1</v>
      </c>
      <c r="R94" s="28" t="n">
        <f aca="false">COUNT(G94:P94)</f>
        <v>1</v>
      </c>
      <c r="S94" s="28" t="n">
        <f aca="false">IF(R94 &gt;= Q94,0,1)</f>
        <v>0</v>
      </c>
      <c r="T94" s="28" t="n">
        <f aca="false">IF(AND(R94 &gt; 0,Q94=0),1,0)</f>
        <v>0</v>
      </c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</row>
    <row r="95" customFormat="false" ht="11.25" hidden="false" customHeight="false" outlineLevel="0" collapsed="false">
      <c r="A95" s="6" t="n">
        <v>95</v>
      </c>
      <c r="B95" s="6" t="n">
        <f aca="false">Codestufen!E96</f>
        <v>0</v>
      </c>
      <c r="C95" s="6" t="n">
        <f aca="false">COUNTIF(V_W_q6mcg_Zuord,A95)</f>
        <v>0</v>
      </c>
      <c r="D95" s="28" t="s">
        <v>52</v>
      </c>
      <c r="E95" s="28" t="n">
        <v>15</v>
      </c>
      <c r="F95" s="29" t="s">
        <v>58</v>
      </c>
      <c r="G95" s="30" t="n">
        <v>3</v>
      </c>
      <c r="H95" s="30"/>
      <c r="I95" s="30"/>
      <c r="J95" s="30"/>
      <c r="K95" s="30"/>
      <c r="L95" s="30"/>
      <c r="M95" s="30"/>
      <c r="N95" s="30"/>
      <c r="O95" s="30"/>
      <c r="P95" s="30"/>
      <c r="Q95" s="28" t="n">
        <f aca="false">IF(TRIM(F95)="",0,1)</f>
        <v>1</v>
      </c>
      <c r="R95" s="28" t="n">
        <f aca="false">COUNT(G95:P95)</f>
        <v>1</v>
      </c>
      <c r="S95" s="28" t="n">
        <f aca="false">IF(R95 &gt;= Q95,0,1)</f>
        <v>0</v>
      </c>
      <c r="T95" s="28" t="n">
        <f aca="false">IF(AND(R95 &gt; 0,Q95=0),1,0)</f>
        <v>0</v>
      </c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</row>
    <row r="96" customFormat="false" ht="11.25" hidden="false" customHeight="false" outlineLevel="0" collapsed="false">
      <c r="A96" s="6" t="n">
        <v>96</v>
      </c>
      <c r="B96" s="6" t="n">
        <f aca="false">Codestufen!E97</f>
        <v>0</v>
      </c>
      <c r="C96" s="6" t="n">
        <f aca="false">COUNTIF(V_W_q6mcg_Zuord,A96)</f>
        <v>0</v>
      </c>
      <c r="D96" s="28" t="s">
        <v>52</v>
      </c>
      <c r="E96" s="28" t="n">
        <v>21</v>
      </c>
      <c r="F96" s="29" t="s">
        <v>58</v>
      </c>
      <c r="G96" s="30" t="n">
        <v>3</v>
      </c>
      <c r="H96" s="30"/>
      <c r="I96" s="30"/>
      <c r="J96" s="30"/>
      <c r="K96" s="30"/>
      <c r="L96" s="30"/>
      <c r="M96" s="30"/>
      <c r="N96" s="30"/>
      <c r="O96" s="30"/>
      <c r="P96" s="30"/>
      <c r="Q96" s="28" t="n">
        <f aca="false">IF(TRIM(F96)="",0,1)</f>
        <v>1</v>
      </c>
      <c r="R96" s="28" t="n">
        <f aca="false">COUNT(G96:P96)</f>
        <v>1</v>
      </c>
      <c r="S96" s="28" t="n">
        <f aca="false">IF(R96 &gt;= Q96,0,1)</f>
        <v>0</v>
      </c>
      <c r="T96" s="28" t="n">
        <f aca="false">IF(AND(R96 &gt; 0,Q96=0),1,0)</f>
        <v>0</v>
      </c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</row>
    <row r="97" customFormat="false" ht="11.25" hidden="false" customHeight="false" outlineLevel="0" collapsed="false">
      <c r="A97" s="6" t="n">
        <v>97</v>
      </c>
      <c r="B97" s="6" t="str">
        <f aca="false">Codestufen!E98</f>
        <v>Others</v>
      </c>
      <c r="C97" s="6" t="n">
        <f aca="false">COUNTIF(V_W_q6mcg_Zuord,A97)</f>
        <v>0</v>
      </c>
      <c r="D97" s="28" t="s">
        <v>52</v>
      </c>
      <c r="E97" s="28" t="n">
        <v>27</v>
      </c>
      <c r="F97" s="29" t="s">
        <v>58</v>
      </c>
      <c r="G97" s="30" t="n">
        <v>3</v>
      </c>
      <c r="H97" s="30"/>
      <c r="I97" s="30"/>
      <c r="J97" s="30"/>
      <c r="K97" s="30"/>
      <c r="L97" s="30"/>
      <c r="M97" s="30"/>
      <c r="N97" s="30"/>
      <c r="O97" s="30"/>
      <c r="P97" s="30"/>
      <c r="Q97" s="28" t="n">
        <f aca="false">IF(TRIM(F97)="",0,1)</f>
        <v>1</v>
      </c>
      <c r="R97" s="28" t="n">
        <f aca="false">COUNT(G97:P97)</f>
        <v>1</v>
      </c>
      <c r="S97" s="28" t="n">
        <f aca="false">IF(R97 &gt;= Q97,0,1)</f>
        <v>0</v>
      </c>
      <c r="T97" s="28" t="n">
        <f aca="false">IF(AND(R97 &gt; 0,Q97=0),1,0)</f>
        <v>0</v>
      </c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</row>
    <row r="98" customFormat="false" ht="11.25" hidden="false" customHeight="false" outlineLevel="0" collapsed="false">
      <c r="A98" s="6" t="n">
        <v>98</v>
      </c>
      <c r="B98" s="6" t="n">
        <f aca="false">Codestufen!E99</f>
        <v>0</v>
      </c>
      <c r="C98" s="6" t="n">
        <f aca="false">COUNTIF(V_W_q6mcg_Zuord,A98)</f>
        <v>0</v>
      </c>
      <c r="D98" s="28" t="s">
        <v>52</v>
      </c>
      <c r="E98" s="28" t="n">
        <v>37</v>
      </c>
      <c r="F98" s="29" t="s">
        <v>58</v>
      </c>
      <c r="G98" s="30" t="n">
        <v>3</v>
      </c>
      <c r="H98" s="30"/>
      <c r="I98" s="30"/>
      <c r="J98" s="30"/>
      <c r="K98" s="30"/>
      <c r="L98" s="30"/>
      <c r="M98" s="30"/>
      <c r="N98" s="30"/>
      <c r="O98" s="30"/>
      <c r="P98" s="30"/>
      <c r="Q98" s="28" t="n">
        <f aca="false">IF(TRIM(F98)="",0,1)</f>
        <v>1</v>
      </c>
      <c r="R98" s="28" t="n">
        <f aca="false">COUNT(G98:P98)</f>
        <v>1</v>
      </c>
      <c r="S98" s="28" t="n">
        <f aca="false">IF(R98 &gt;= Q98,0,1)</f>
        <v>0</v>
      </c>
      <c r="T98" s="28" t="n">
        <f aca="false">IF(AND(R98 &gt; 0,Q98=0),1,0)</f>
        <v>0</v>
      </c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</row>
    <row r="99" customFormat="false" ht="11.25" hidden="false" customHeight="false" outlineLevel="0" collapsed="false">
      <c r="A99" s="6" t="n">
        <v>99</v>
      </c>
      <c r="B99" s="6" t="str">
        <f aca="false">Codestufen!E100</f>
        <v>No answer</v>
      </c>
      <c r="C99" s="6" t="n">
        <f aca="false">COUNTIF(V_W_q6mcg_Zuord,A99)</f>
        <v>0</v>
      </c>
      <c r="D99" s="28" t="s">
        <v>52</v>
      </c>
      <c r="E99" s="28" t="n">
        <v>40</v>
      </c>
      <c r="F99" s="29" t="s">
        <v>58</v>
      </c>
      <c r="G99" s="30" t="n">
        <v>3</v>
      </c>
      <c r="H99" s="30"/>
      <c r="I99" s="30"/>
      <c r="J99" s="30"/>
      <c r="K99" s="30"/>
      <c r="L99" s="30"/>
      <c r="M99" s="30"/>
      <c r="N99" s="30"/>
      <c r="O99" s="30"/>
      <c r="P99" s="30"/>
      <c r="Q99" s="28" t="n">
        <f aca="false">IF(TRIM(F99)="",0,1)</f>
        <v>1</v>
      </c>
      <c r="R99" s="28" t="n">
        <f aca="false">COUNT(G99:P99)</f>
        <v>1</v>
      </c>
      <c r="S99" s="28" t="n">
        <f aca="false">IF(R99 &gt;= Q99,0,1)</f>
        <v>0</v>
      </c>
      <c r="T99" s="28" t="n">
        <f aca="false">IF(AND(R99 &gt; 0,Q99=0),1,0)</f>
        <v>0</v>
      </c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</row>
    <row r="100" customFormat="false" ht="11.25" hidden="false" customHeight="false" outlineLevel="0" collapsed="false">
      <c r="A100" s="6" t="n">
        <v>100</v>
      </c>
      <c r="B100" s="6" t="n">
        <f aca="false">Codestufen!E101</f>
        <v>0</v>
      </c>
      <c r="C100" s="6" t="n">
        <f aca="false">COUNTIF(V_W_q6mcg_Zuord,A100)</f>
        <v>0</v>
      </c>
      <c r="D100" s="28" t="s">
        <v>52</v>
      </c>
      <c r="E100" s="28" t="n">
        <v>63</v>
      </c>
      <c r="F100" s="29" t="s">
        <v>58</v>
      </c>
      <c r="G100" s="30" t="n">
        <v>3</v>
      </c>
      <c r="H100" s="30"/>
      <c r="I100" s="30"/>
      <c r="J100" s="30"/>
      <c r="K100" s="30"/>
      <c r="L100" s="30"/>
      <c r="M100" s="30"/>
      <c r="N100" s="30"/>
      <c r="O100" s="30"/>
      <c r="P100" s="30"/>
      <c r="Q100" s="28" t="n">
        <f aca="false">IF(TRIM(F100)="",0,1)</f>
        <v>1</v>
      </c>
      <c r="R100" s="28" t="n">
        <f aca="false">COUNT(G100:P100)</f>
        <v>1</v>
      </c>
      <c r="S100" s="28" t="n">
        <f aca="false">IF(R100 &gt;= Q100,0,1)</f>
        <v>0</v>
      </c>
      <c r="T100" s="28" t="n">
        <f aca="false">IF(AND(R100 &gt; 0,Q100=0),1,0)</f>
        <v>0</v>
      </c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</row>
    <row r="101" customFormat="false" ht="11.25" hidden="false" customHeight="false" outlineLevel="0" collapsed="false">
      <c r="D101" s="28" t="s">
        <v>52</v>
      </c>
      <c r="E101" s="28" t="n">
        <v>69</v>
      </c>
      <c r="F101" s="29" t="s">
        <v>58</v>
      </c>
      <c r="G101" s="30" t="n">
        <v>3</v>
      </c>
      <c r="H101" s="30"/>
      <c r="I101" s="30"/>
      <c r="J101" s="30"/>
      <c r="K101" s="30"/>
      <c r="L101" s="30"/>
      <c r="M101" s="30"/>
      <c r="N101" s="30"/>
      <c r="O101" s="30"/>
      <c r="P101" s="30"/>
      <c r="Q101" s="28" t="n">
        <f aca="false">IF(TRIM(F101)="",0,1)</f>
        <v>1</v>
      </c>
      <c r="R101" s="28" t="n">
        <f aca="false">COUNT(G101:P101)</f>
        <v>1</v>
      </c>
      <c r="S101" s="28" t="n">
        <f aca="false">IF(R101 &gt;= Q101,0,1)</f>
        <v>0</v>
      </c>
      <c r="T101" s="28" t="n">
        <f aca="false">IF(AND(R101 &gt; 0,Q101=0),1,0)</f>
        <v>0</v>
      </c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</row>
    <row r="102" customFormat="false" ht="11.25" hidden="false" customHeight="false" outlineLevel="0" collapsed="false">
      <c r="D102" s="28" t="s">
        <v>52</v>
      </c>
      <c r="E102" s="28" t="n">
        <v>76</v>
      </c>
      <c r="F102" s="29" t="s">
        <v>58</v>
      </c>
      <c r="G102" s="30" t="n">
        <v>3</v>
      </c>
      <c r="H102" s="30"/>
      <c r="I102" s="30"/>
      <c r="J102" s="30"/>
      <c r="K102" s="30"/>
      <c r="L102" s="30"/>
      <c r="M102" s="30"/>
      <c r="N102" s="30"/>
      <c r="O102" s="30"/>
      <c r="P102" s="30"/>
      <c r="Q102" s="28" t="n">
        <f aca="false">IF(TRIM(F102)="",0,1)</f>
        <v>1</v>
      </c>
      <c r="R102" s="28" t="n">
        <f aca="false">COUNT(G102:P102)</f>
        <v>1</v>
      </c>
      <c r="S102" s="28" t="n">
        <f aca="false">IF(R102 &gt;= Q102,0,1)</f>
        <v>0</v>
      </c>
      <c r="T102" s="28" t="n">
        <f aca="false">IF(AND(R102 &gt; 0,Q102=0),1,0)</f>
        <v>0</v>
      </c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</row>
    <row r="103" customFormat="false" ht="11.25" hidden="false" customHeight="false" outlineLevel="0" collapsed="false">
      <c r="D103" s="28" t="s">
        <v>52</v>
      </c>
      <c r="E103" s="28" t="n">
        <v>99</v>
      </c>
      <c r="F103" s="29" t="s">
        <v>58</v>
      </c>
      <c r="G103" s="30" t="n">
        <v>3</v>
      </c>
      <c r="H103" s="30"/>
      <c r="I103" s="30"/>
      <c r="J103" s="30"/>
      <c r="K103" s="30"/>
      <c r="L103" s="30"/>
      <c r="M103" s="30"/>
      <c r="N103" s="30"/>
      <c r="O103" s="30"/>
      <c r="P103" s="30"/>
      <c r="Q103" s="28" t="n">
        <f aca="false">IF(TRIM(F103)="",0,1)</f>
        <v>1</v>
      </c>
      <c r="R103" s="28" t="n">
        <f aca="false">COUNT(G103:P103)</f>
        <v>1</v>
      </c>
      <c r="S103" s="28" t="n">
        <f aca="false">IF(R103 &gt;= Q103,0,1)</f>
        <v>0</v>
      </c>
      <c r="T103" s="28" t="n">
        <f aca="false">IF(AND(R103 &gt; 0,Q103=0),1,0)</f>
        <v>0</v>
      </c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</row>
    <row r="104" customFormat="false" ht="11.25" hidden="false" customHeight="false" outlineLevel="0" collapsed="false">
      <c r="D104" s="28" t="s">
        <v>52</v>
      </c>
      <c r="E104" s="28" t="n">
        <v>1</v>
      </c>
      <c r="F104" s="29" t="s">
        <v>59</v>
      </c>
      <c r="G104" s="30" t="n">
        <v>1</v>
      </c>
      <c r="H104" s="30"/>
      <c r="I104" s="30"/>
      <c r="J104" s="30"/>
      <c r="K104" s="30"/>
      <c r="L104" s="30"/>
      <c r="M104" s="30"/>
      <c r="N104" s="30"/>
      <c r="O104" s="30"/>
      <c r="P104" s="30"/>
      <c r="Q104" s="28" t="n">
        <f aca="false">IF(TRIM(F104)="",0,1)</f>
        <v>1</v>
      </c>
      <c r="R104" s="28" t="n">
        <f aca="false">COUNT(G104:P104)</f>
        <v>1</v>
      </c>
      <c r="S104" s="28" t="n">
        <f aca="false">IF(R104 &gt;= Q104,0,1)</f>
        <v>0</v>
      </c>
      <c r="T104" s="28" t="n">
        <f aca="false">IF(AND(R104 &gt; 0,Q104=0),1,0)</f>
        <v>0</v>
      </c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</row>
    <row r="105" customFormat="false" ht="11.25" hidden="false" customHeight="false" outlineLevel="0" collapsed="false">
      <c r="D105" s="28" t="s">
        <v>52</v>
      </c>
      <c r="E105" s="28" t="n">
        <v>10</v>
      </c>
      <c r="F105" s="29" t="s">
        <v>59</v>
      </c>
      <c r="G105" s="30" t="n">
        <v>1</v>
      </c>
      <c r="H105" s="30"/>
      <c r="I105" s="30"/>
      <c r="J105" s="30"/>
      <c r="K105" s="30"/>
      <c r="L105" s="30"/>
      <c r="M105" s="30"/>
      <c r="N105" s="30"/>
      <c r="O105" s="30"/>
      <c r="P105" s="30"/>
      <c r="Q105" s="28" t="n">
        <f aca="false">IF(TRIM(F105)="",0,1)</f>
        <v>1</v>
      </c>
      <c r="R105" s="28" t="n">
        <f aca="false">COUNT(G105:P105)</f>
        <v>1</v>
      </c>
      <c r="S105" s="28" t="n">
        <f aca="false">IF(R105 &gt;= Q105,0,1)</f>
        <v>0</v>
      </c>
      <c r="T105" s="28" t="n">
        <f aca="false">IF(AND(R105 &gt; 0,Q105=0),1,0)</f>
        <v>0</v>
      </c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</row>
    <row r="106" customFormat="false" ht="11.25" hidden="false" customHeight="false" outlineLevel="0" collapsed="false">
      <c r="D106" s="28" t="s">
        <v>52</v>
      </c>
      <c r="E106" s="28" t="n">
        <v>16</v>
      </c>
      <c r="F106" s="29" t="s">
        <v>59</v>
      </c>
      <c r="G106" s="30" t="n">
        <v>1</v>
      </c>
      <c r="H106" s="30"/>
      <c r="I106" s="30"/>
      <c r="J106" s="30"/>
      <c r="K106" s="30"/>
      <c r="L106" s="30"/>
      <c r="M106" s="30"/>
      <c r="N106" s="30"/>
      <c r="O106" s="30"/>
      <c r="P106" s="30"/>
      <c r="Q106" s="28" t="n">
        <f aca="false">IF(TRIM(F106)="",0,1)</f>
        <v>1</v>
      </c>
      <c r="R106" s="28" t="n">
        <f aca="false">COUNT(G106:P106)</f>
        <v>1</v>
      </c>
      <c r="S106" s="28" t="n">
        <f aca="false">IF(R106 &gt;= Q106,0,1)</f>
        <v>0</v>
      </c>
      <c r="T106" s="28" t="n">
        <f aca="false">IF(AND(R106 &gt; 0,Q106=0),1,0)</f>
        <v>0</v>
      </c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</row>
    <row r="107" customFormat="false" ht="11.25" hidden="false" customHeight="false" outlineLevel="0" collapsed="false">
      <c r="D107" s="28" t="s">
        <v>52</v>
      </c>
      <c r="E107" s="28" t="n">
        <v>33</v>
      </c>
      <c r="F107" s="29" t="s">
        <v>59</v>
      </c>
      <c r="G107" s="30" t="n">
        <v>1</v>
      </c>
      <c r="H107" s="30"/>
      <c r="I107" s="30"/>
      <c r="J107" s="30"/>
      <c r="K107" s="30"/>
      <c r="L107" s="30"/>
      <c r="M107" s="30"/>
      <c r="N107" s="30"/>
      <c r="O107" s="30"/>
      <c r="P107" s="30"/>
      <c r="Q107" s="28" t="n">
        <f aca="false">IF(TRIM(F107)="",0,1)</f>
        <v>1</v>
      </c>
      <c r="R107" s="28" t="n">
        <f aca="false">COUNT(G107:P107)</f>
        <v>1</v>
      </c>
      <c r="S107" s="28" t="n">
        <f aca="false">IF(R107 &gt;= Q107,0,1)</f>
        <v>0</v>
      </c>
      <c r="T107" s="28" t="n">
        <f aca="false">IF(AND(R107 &gt; 0,Q107=0),1,0)</f>
        <v>0</v>
      </c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</row>
    <row r="108" customFormat="false" ht="11.25" hidden="false" customHeight="false" outlineLevel="0" collapsed="false">
      <c r="D108" s="28" t="s">
        <v>52</v>
      </c>
      <c r="E108" s="28" t="n">
        <v>41</v>
      </c>
      <c r="F108" s="29" t="s">
        <v>59</v>
      </c>
      <c r="G108" s="30" t="n">
        <v>1</v>
      </c>
      <c r="H108" s="30"/>
      <c r="I108" s="30"/>
      <c r="J108" s="30"/>
      <c r="K108" s="30"/>
      <c r="L108" s="30"/>
      <c r="M108" s="30"/>
      <c r="N108" s="30"/>
      <c r="O108" s="30"/>
      <c r="P108" s="30"/>
      <c r="Q108" s="28" t="n">
        <f aca="false">IF(TRIM(F108)="",0,1)</f>
        <v>1</v>
      </c>
      <c r="R108" s="28" t="n">
        <f aca="false">COUNT(G108:P108)</f>
        <v>1</v>
      </c>
      <c r="S108" s="28" t="n">
        <f aca="false">IF(R108 &gt;= Q108,0,1)</f>
        <v>0</v>
      </c>
      <c r="T108" s="28" t="n">
        <f aca="false">IF(AND(R108 &gt; 0,Q108=0),1,0)</f>
        <v>0</v>
      </c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</row>
    <row r="109" customFormat="false" ht="11.25" hidden="false" customHeight="false" outlineLevel="0" collapsed="false">
      <c r="D109" s="28" t="s">
        <v>52</v>
      </c>
      <c r="E109" s="28" t="n">
        <v>42</v>
      </c>
      <c r="F109" s="29" t="s">
        <v>59</v>
      </c>
      <c r="G109" s="30" t="n">
        <v>1</v>
      </c>
      <c r="H109" s="30"/>
      <c r="I109" s="30"/>
      <c r="J109" s="30"/>
      <c r="K109" s="30"/>
      <c r="L109" s="30"/>
      <c r="M109" s="30"/>
      <c r="N109" s="30"/>
      <c r="O109" s="30"/>
      <c r="P109" s="30"/>
      <c r="Q109" s="28" t="n">
        <f aca="false">IF(TRIM(F109)="",0,1)</f>
        <v>1</v>
      </c>
      <c r="R109" s="28" t="n">
        <f aca="false">COUNT(G109:P109)</f>
        <v>1</v>
      </c>
      <c r="S109" s="28" t="n">
        <f aca="false">IF(R109 &gt;= Q109,0,1)</f>
        <v>0</v>
      </c>
      <c r="T109" s="28" t="n">
        <f aca="false">IF(AND(R109 &gt; 0,Q109=0),1,0)</f>
        <v>0</v>
      </c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</row>
    <row r="110" customFormat="false" ht="11.25" hidden="false" customHeight="false" outlineLevel="0" collapsed="false">
      <c r="D110" s="28" t="s">
        <v>52</v>
      </c>
      <c r="E110" s="28" t="n">
        <v>68</v>
      </c>
      <c r="F110" s="29" t="s">
        <v>59</v>
      </c>
      <c r="G110" s="30" t="n">
        <v>1</v>
      </c>
      <c r="H110" s="30"/>
      <c r="I110" s="30"/>
      <c r="J110" s="30"/>
      <c r="K110" s="30"/>
      <c r="L110" s="30"/>
      <c r="M110" s="30"/>
      <c r="N110" s="30"/>
      <c r="O110" s="30"/>
      <c r="P110" s="30"/>
      <c r="Q110" s="28" t="n">
        <f aca="false">IF(TRIM(F110)="",0,1)</f>
        <v>1</v>
      </c>
      <c r="R110" s="28" t="n">
        <f aca="false">COUNT(G110:P110)</f>
        <v>1</v>
      </c>
      <c r="S110" s="28" t="n">
        <f aca="false">IF(R110 &gt;= Q110,0,1)</f>
        <v>0</v>
      </c>
      <c r="T110" s="28" t="n">
        <f aca="false">IF(AND(R110 &gt; 0,Q110=0),1,0)</f>
        <v>0</v>
      </c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</row>
    <row r="111" customFormat="false" ht="11.25" hidden="false" customHeight="false" outlineLevel="0" collapsed="false">
      <c r="D111" s="28" t="s">
        <v>52</v>
      </c>
      <c r="E111" s="28" t="n">
        <v>75</v>
      </c>
      <c r="F111" s="29" t="s">
        <v>59</v>
      </c>
      <c r="G111" s="30" t="n">
        <v>1</v>
      </c>
      <c r="H111" s="30"/>
      <c r="I111" s="30"/>
      <c r="J111" s="30"/>
      <c r="K111" s="30"/>
      <c r="L111" s="30"/>
      <c r="M111" s="30"/>
      <c r="N111" s="30"/>
      <c r="O111" s="30"/>
      <c r="P111" s="30"/>
      <c r="Q111" s="28" t="n">
        <f aca="false">IF(TRIM(F111)="",0,1)</f>
        <v>1</v>
      </c>
      <c r="R111" s="28" t="n">
        <f aca="false">COUNT(G111:P111)</f>
        <v>1</v>
      </c>
      <c r="S111" s="28" t="n">
        <f aca="false">IF(R111 &gt;= Q111,0,1)</f>
        <v>0</v>
      </c>
      <c r="T111" s="28" t="n">
        <f aca="false">IF(AND(R111 &gt; 0,Q111=0),1,0)</f>
        <v>0</v>
      </c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</row>
    <row r="112" customFormat="false" ht="11.25" hidden="false" customHeight="false" outlineLevel="0" collapsed="false">
      <c r="D112" s="28" t="s">
        <v>52</v>
      </c>
      <c r="E112" s="28" t="n">
        <v>82</v>
      </c>
      <c r="F112" s="29" t="s">
        <v>59</v>
      </c>
      <c r="G112" s="30" t="n">
        <v>1</v>
      </c>
      <c r="H112" s="30"/>
      <c r="I112" s="30"/>
      <c r="J112" s="30"/>
      <c r="K112" s="30"/>
      <c r="L112" s="30"/>
      <c r="M112" s="30"/>
      <c r="N112" s="30"/>
      <c r="O112" s="30"/>
      <c r="P112" s="30"/>
      <c r="Q112" s="28" t="n">
        <f aca="false">IF(TRIM(F112)="",0,1)</f>
        <v>1</v>
      </c>
      <c r="R112" s="28" t="n">
        <f aca="false">COUNT(G112:P112)</f>
        <v>1</v>
      </c>
      <c r="S112" s="28" t="n">
        <f aca="false">IF(R112 &gt;= Q112,0,1)</f>
        <v>0</v>
      </c>
      <c r="T112" s="28" t="n">
        <f aca="false">IF(AND(R112 &gt; 0,Q112=0),1,0)</f>
        <v>0</v>
      </c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</row>
    <row r="113" customFormat="false" ht="11.25" hidden="false" customHeight="false" outlineLevel="0" collapsed="false">
      <c r="D113" s="28" t="s">
        <v>52</v>
      </c>
      <c r="E113" s="28" t="n">
        <v>86</v>
      </c>
      <c r="F113" s="29" t="s">
        <v>59</v>
      </c>
      <c r="G113" s="30" t="n">
        <v>1</v>
      </c>
      <c r="H113" s="30"/>
      <c r="I113" s="30"/>
      <c r="J113" s="30"/>
      <c r="K113" s="30"/>
      <c r="L113" s="30"/>
      <c r="M113" s="30"/>
      <c r="N113" s="30"/>
      <c r="O113" s="30"/>
      <c r="P113" s="30"/>
      <c r="Q113" s="28" t="n">
        <f aca="false">IF(TRIM(F113)="",0,1)</f>
        <v>1</v>
      </c>
      <c r="R113" s="28" t="n">
        <f aca="false">COUNT(G113:P113)</f>
        <v>1</v>
      </c>
      <c r="S113" s="28" t="n">
        <f aca="false">IF(R113 &gt;= Q113,0,1)</f>
        <v>0</v>
      </c>
      <c r="T113" s="28" t="n">
        <f aca="false">IF(AND(R113 &gt; 0,Q113=0),1,0)</f>
        <v>0</v>
      </c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</row>
    <row r="114" customFormat="false" ht="11.25" hidden="false" customHeight="false" outlineLevel="0" collapsed="false">
      <c r="D114" s="28" t="s">
        <v>52</v>
      </c>
      <c r="E114" s="28" t="n">
        <v>93</v>
      </c>
      <c r="F114" s="29" t="s">
        <v>59</v>
      </c>
      <c r="G114" s="30" t="n">
        <v>1</v>
      </c>
      <c r="H114" s="30"/>
      <c r="I114" s="30"/>
      <c r="J114" s="30"/>
      <c r="K114" s="30"/>
      <c r="L114" s="30"/>
      <c r="M114" s="30"/>
      <c r="N114" s="30"/>
      <c r="O114" s="30"/>
      <c r="P114" s="30"/>
      <c r="Q114" s="28" t="n">
        <f aca="false">IF(TRIM(F114)="",0,1)</f>
        <v>1</v>
      </c>
      <c r="R114" s="28" t="n">
        <f aca="false">COUNT(G114:P114)</f>
        <v>1</v>
      </c>
      <c r="S114" s="28" t="n">
        <f aca="false">IF(R114 &gt;= Q114,0,1)</f>
        <v>0</v>
      </c>
      <c r="T114" s="28" t="n">
        <f aca="false">IF(AND(R114 &gt; 0,Q114=0),1,0)</f>
        <v>0</v>
      </c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</row>
    <row r="115" customFormat="false" ht="11.25" hidden="false" customHeight="false" outlineLevel="0" collapsed="false">
      <c r="D115" s="28" t="s">
        <v>52</v>
      </c>
      <c r="E115" s="28" t="n">
        <v>11</v>
      </c>
      <c r="F115" s="29" t="s">
        <v>60</v>
      </c>
      <c r="G115" s="30" t="n">
        <v>2</v>
      </c>
      <c r="H115" s="30"/>
      <c r="I115" s="30"/>
      <c r="J115" s="30"/>
      <c r="K115" s="30"/>
      <c r="L115" s="30"/>
      <c r="M115" s="30"/>
      <c r="N115" s="30"/>
      <c r="O115" s="30"/>
      <c r="P115" s="30"/>
      <c r="Q115" s="28" t="n">
        <f aca="false">IF(TRIM(F115)="",0,1)</f>
        <v>1</v>
      </c>
      <c r="R115" s="28" t="n">
        <f aca="false">COUNT(G115:P115)</f>
        <v>1</v>
      </c>
      <c r="S115" s="28" t="n">
        <f aca="false">IF(R115 &gt;= Q115,0,1)</f>
        <v>0</v>
      </c>
      <c r="T115" s="28" t="n">
        <f aca="false">IF(AND(R115 &gt; 0,Q115=0),1,0)</f>
        <v>0</v>
      </c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</row>
    <row r="116" customFormat="false" ht="11.25" hidden="false" customHeight="false" outlineLevel="0" collapsed="false">
      <c r="D116" s="28" t="s">
        <v>52</v>
      </c>
      <c r="E116" s="28" t="n">
        <v>20</v>
      </c>
      <c r="F116" s="29" t="s">
        <v>60</v>
      </c>
      <c r="G116" s="30" t="n">
        <v>2</v>
      </c>
      <c r="H116" s="30"/>
      <c r="I116" s="30"/>
      <c r="J116" s="30"/>
      <c r="K116" s="30"/>
      <c r="L116" s="30"/>
      <c r="M116" s="30"/>
      <c r="N116" s="30"/>
      <c r="O116" s="30"/>
      <c r="P116" s="30"/>
      <c r="Q116" s="28" t="n">
        <f aca="false">IF(TRIM(F116)="",0,1)</f>
        <v>1</v>
      </c>
      <c r="R116" s="28" t="n">
        <f aca="false">COUNT(G116:P116)</f>
        <v>1</v>
      </c>
      <c r="S116" s="28" t="n">
        <f aca="false">IF(R116 &gt;= Q116,0,1)</f>
        <v>0</v>
      </c>
      <c r="T116" s="28" t="n">
        <f aca="false">IF(AND(R116 &gt; 0,Q116=0),1,0)</f>
        <v>0</v>
      </c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</row>
    <row r="117" customFormat="false" ht="11.25" hidden="false" customHeight="false" outlineLevel="0" collapsed="false">
      <c r="D117" s="28" t="s">
        <v>52</v>
      </c>
      <c r="E117" s="28" t="n">
        <v>29</v>
      </c>
      <c r="F117" s="29" t="s">
        <v>60</v>
      </c>
      <c r="G117" s="30" t="n">
        <v>2</v>
      </c>
      <c r="H117" s="30"/>
      <c r="I117" s="30"/>
      <c r="J117" s="30"/>
      <c r="K117" s="30"/>
      <c r="L117" s="30"/>
      <c r="M117" s="30"/>
      <c r="N117" s="30"/>
      <c r="O117" s="30"/>
      <c r="P117" s="30"/>
      <c r="Q117" s="28" t="n">
        <f aca="false">IF(TRIM(F117)="",0,1)</f>
        <v>1</v>
      </c>
      <c r="R117" s="28" t="n">
        <f aca="false">COUNT(G117:P117)</f>
        <v>1</v>
      </c>
      <c r="S117" s="28" t="n">
        <f aca="false">IF(R117 &gt;= Q117,0,1)</f>
        <v>0</v>
      </c>
      <c r="T117" s="28" t="n">
        <f aca="false">IF(AND(R117 &gt; 0,Q117=0),1,0)</f>
        <v>0</v>
      </c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</row>
    <row r="118" customFormat="false" ht="11.25" hidden="false" customHeight="false" outlineLevel="0" collapsed="false">
      <c r="D118" s="28" t="s">
        <v>52</v>
      </c>
      <c r="E118" s="28" t="n">
        <v>46</v>
      </c>
      <c r="F118" s="29" t="s">
        <v>60</v>
      </c>
      <c r="G118" s="30" t="n">
        <v>2</v>
      </c>
      <c r="H118" s="30"/>
      <c r="I118" s="30"/>
      <c r="J118" s="30"/>
      <c r="K118" s="30"/>
      <c r="L118" s="30"/>
      <c r="M118" s="30"/>
      <c r="N118" s="30"/>
      <c r="O118" s="30"/>
      <c r="P118" s="30"/>
      <c r="Q118" s="28" t="n">
        <f aca="false">IF(TRIM(F118)="",0,1)</f>
        <v>1</v>
      </c>
      <c r="R118" s="28" t="n">
        <f aca="false">COUNT(G118:P118)</f>
        <v>1</v>
      </c>
      <c r="S118" s="28" t="n">
        <f aca="false">IF(R118 &gt;= Q118,0,1)</f>
        <v>0</v>
      </c>
      <c r="T118" s="28" t="n">
        <f aca="false">IF(AND(R118 &gt; 0,Q118=0),1,0)</f>
        <v>0</v>
      </c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</row>
    <row r="119" customFormat="false" ht="11.25" hidden="false" customHeight="false" outlineLevel="0" collapsed="false">
      <c r="D119" s="28" t="s">
        <v>52</v>
      </c>
      <c r="E119" s="28" t="n">
        <v>50</v>
      </c>
      <c r="F119" s="29" t="s">
        <v>60</v>
      </c>
      <c r="G119" s="30" t="n">
        <v>2</v>
      </c>
      <c r="H119" s="30"/>
      <c r="I119" s="30"/>
      <c r="J119" s="30"/>
      <c r="K119" s="30"/>
      <c r="L119" s="30"/>
      <c r="M119" s="30"/>
      <c r="N119" s="30"/>
      <c r="O119" s="30"/>
      <c r="P119" s="30"/>
      <c r="Q119" s="28" t="n">
        <f aca="false">IF(TRIM(F119)="",0,1)</f>
        <v>1</v>
      </c>
      <c r="R119" s="28" t="n">
        <f aca="false">COUNT(G119:P119)</f>
        <v>1</v>
      </c>
      <c r="S119" s="28" t="n">
        <f aca="false">IF(R119 &gt;= Q119,0,1)</f>
        <v>0</v>
      </c>
      <c r="T119" s="28" t="n">
        <f aca="false">IF(AND(R119 &gt; 0,Q119=0),1,0)</f>
        <v>0</v>
      </c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</row>
    <row r="120" customFormat="false" ht="11.25" hidden="false" customHeight="false" outlineLevel="0" collapsed="false">
      <c r="D120" s="28" t="s">
        <v>52</v>
      </c>
      <c r="E120" s="28" t="n">
        <v>81</v>
      </c>
      <c r="F120" s="29" t="s">
        <v>60</v>
      </c>
      <c r="G120" s="30" t="n">
        <v>2</v>
      </c>
      <c r="H120" s="30"/>
      <c r="I120" s="30"/>
      <c r="J120" s="30"/>
      <c r="K120" s="30"/>
      <c r="L120" s="30"/>
      <c r="M120" s="30"/>
      <c r="N120" s="30"/>
      <c r="O120" s="30"/>
      <c r="P120" s="30"/>
      <c r="Q120" s="28" t="n">
        <f aca="false">IF(TRIM(F120)="",0,1)</f>
        <v>1</v>
      </c>
      <c r="R120" s="28" t="n">
        <f aca="false">COUNT(G120:P120)</f>
        <v>1</v>
      </c>
      <c r="S120" s="28" t="n">
        <f aca="false">IF(R120 &gt;= Q120,0,1)</f>
        <v>0</v>
      </c>
      <c r="T120" s="28" t="n">
        <f aca="false">IF(AND(R120 &gt; 0,Q120=0),1,0)</f>
        <v>0</v>
      </c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</row>
    <row r="121" customFormat="false" ht="11.25" hidden="false" customHeight="false" outlineLevel="0" collapsed="false">
      <c r="D121" s="28" t="s">
        <v>52</v>
      </c>
      <c r="E121" s="28" t="n">
        <v>84</v>
      </c>
      <c r="F121" s="29" t="s">
        <v>60</v>
      </c>
      <c r="G121" s="30" t="n">
        <v>2</v>
      </c>
      <c r="H121" s="30"/>
      <c r="I121" s="30"/>
      <c r="J121" s="30"/>
      <c r="K121" s="30"/>
      <c r="L121" s="30"/>
      <c r="M121" s="30"/>
      <c r="N121" s="30"/>
      <c r="O121" s="30"/>
      <c r="P121" s="30"/>
      <c r="Q121" s="28" t="n">
        <f aca="false">IF(TRIM(F121)="",0,1)</f>
        <v>1</v>
      </c>
      <c r="R121" s="28" t="n">
        <f aca="false">COUNT(G121:P121)</f>
        <v>1</v>
      </c>
      <c r="S121" s="28" t="n">
        <f aca="false">IF(R121 &gt;= Q121,0,1)</f>
        <v>0</v>
      </c>
      <c r="T121" s="28" t="n">
        <f aca="false">IF(AND(R121 &gt; 0,Q121=0),1,0)</f>
        <v>0</v>
      </c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</row>
    <row r="122" customFormat="false" ht="11.25" hidden="false" customHeight="false" outlineLevel="0" collapsed="false">
      <c r="D122" s="28" t="s">
        <v>52</v>
      </c>
      <c r="E122" s="28" t="n">
        <v>87</v>
      </c>
      <c r="F122" s="29" t="s">
        <v>60</v>
      </c>
      <c r="G122" s="30" t="n">
        <v>2</v>
      </c>
      <c r="H122" s="30"/>
      <c r="I122" s="30"/>
      <c r="J122" s="30"/>
      <c r="K122" s="30"/>
      <c r="L122" s="30"/>
      <c r="M122" s="30"/>
      <c r="N122" s="30"/>
      <c r="O122" s="30"/>
      <c r="P122" s="30"/>
      <c r="Q122" s="28" t="n">
        <f aca="false">IF(TRIM(F122)="",0,1)</f>
        <v>1</v>
      </c>
      <c r="R122" s="28" t="n">
        <f aca="false">COUNT(G122:P122)</f>
        <v>1</v>
      </c>
      <c r="S122" s="28" t="n">
        <f aca="false">IF(R122 &gt;= Q122,0,1)</f>
        <v>0</v>
      </c>
      <c r="T122" s="28" t="n">
        <f aca="false">IF(AND(R122 &gt; 0,Q122=0),1,0)</f>
        <v>0</v>
      </c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</row>
    <row r="123" customFormat="false" ht="11.25" hidden="false" customHeight="false" outlineLevel="0" collapsed="false">
      <c r="D123" s="28" t="s">
        <v>52</v>
      </c>
      <c r="E123" s="28" t="n">
        <v>18</v>
      </c>
      <c r="F123" s="29" t="s">
        <v>61</v>
      </c>
      <c r="G123" s="30" t="n">
        <v>3</v>
      </c>
      <c r="H123" s="30"/>
      <c r="I123" s="30"/>
      <c r="J123" s="30"/>
      <c r="K123" s="30"/>
      <c r="L123" s="30"/>
      <c r="M123" s="30"/>
      <c r="N123" s="30"/>
      <c r="O123" s="30"/>
      <c r="P123" s="30"/>
      <c r="Q123" s="28" t="n">
        <f aca="false">IF(TRIM(F123)="",0,1)</f>
        <v>1</v>
      </c>
      <c r="R123" s="28" t="n">
        <f aca="false">COUNT(G123:P123)</f>
        <v>1</v>
      </c>
      <c r="S123" s="28" t="n">
        <f aca="false">IF(R123 &gt;= Q123,0,1)</f>
        <v>0</v>
      </c>
      <c r="T123" s="28" t="n">
        <f aca="false">IF(AND(R123 &gt; 0,Q123=0),1,0)</f>
        <v>0</v>
      </c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</row>
    <row r="124" customFormat="false" ht="11.25" hidden="false" customHeight="false" outlineLevel="0" collapsed="false">
      <c r="D124" s="28" t="s">
        <v>52</v>
      </c>
      <c r="E124" s="28" t="n">
        <v>31</v>
      </c>
      <c r="F124" s="29" t="s">
        <v>61</v>
      </c>
      <c r="G124" s="30" t="n">
        <v>3</v>
      </c>
      <c r="H124" s="30"/>
      <c r="I124" s="30"/>
      <c r="J124" s="30"/>
      <c r="K124" s="30"/>
      <c r="L124" s="30"/>
      <c r="M124" s="30"/>
      <c r="N124" s="30"/>
      <c r="O124" s="30"/>
      <c r="P124" s="30"/>
      <c r="Q124" s="28" t="n">
        <f aca="false">IF(TRIM(F124)="",0,1)</f>
        <v>1</v>
      </c>
      <c r="R124" s="28" t="n">
        <f aca="false">COUNT(G124:P124)</f>
        <v>1</v>
      </c>
      <c r="S124" s="28" t="n">
        <f aca="false">IF(R124 &gt;= Q124,0,1)</f>
        <v>0</v>
      </c>
      <c r="T124" s="28" t="n">
        <f aca="false">IF(AND(R124 &gt; 0,Q124=0),1,0)</f>
        <v>0</v>
      </c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</row>
    <row r="125" customFormat="false" ht="11.25" hidden="false" customHeight="false" outlineLevel="0" collapsed="false">
      <c r="D125" s="28" t="s">
        <v>52</v>
      </c>
      <c r="E125" s="28" t="n">
        <v>43</v>
      </c>
      <c r="F125" s="29" t="s">
        <v>61</v>
      </c>
      <c r="G125" s="30" t="n">
        <v>3</v>
      </c>
      <c r="H125" s="30"/>
      <c r="I125" s="30"/>
      <c r="J125" s="30"/>
      <c r="K125" s="30"/>
      <c r="L125" s="30"/>
      <c r="M125" s="30"/>
      <c r="N125" s="30"/>
      <c r="O125" s="30"/>
      <c r="P125" s="30"/>
      <c r="Q125" s="28" t="n">
        <f aca="false">IF(TRIM(F125)="",0,1)</f>
        <v>1</v>
      </c>
      <c r="R125" s="28" t="n">
        <f aca="false">COUNT(G125:P125)</f>
        <v>1</v>
      </c>
      <c r="S125" s="28" t="n">
        <f aca="false">IF(R125 &gt;= Q125,0,1)</f>
        <v>0</v>
      </c>
      <c r="T125" s="28" t="n">
        <f aca="false">IF(AND(R125 &gt; 0,Q125=0),1,0)</f>
        <v>0</v>
      </c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</row>
    <row r="126" customFormat="false" ht="11.25" hidden="false" customHeight="false" outlineLevel="0" collapsed="false">
      <c r="D126" s="28" t="s">
        <v>52</v>
      </c>
      <c r="E126" s="28" t="n">
        <v>48</v>
      </c>
      <c r="F126" s="29" t="s">
        <v>61</v>
      </c>
      <c r="G126" s="30" t="n">
        <v>3</v>
      </c>
      <c r="H126" s="30"/>
      <c r="I126" s="30"/>
      <c r="J126" s="30"/>
      <c r="K126" s="30"/>
      <c r="L126" s="30"/>
      <c r="M126" s="30"/>
      <c r="N126" s="30"/>
      <c r="O126" s="30"/>
      <c r="P126" s="30"/>
      <c r="Q126" s="28" t="n">
        <f aca="false">IF(TRIM(F126)="",0,1)</f>
        <v>1</v>
      </c>
      <c r="R126" s="28" t="n">
        <f aca="false">COUNT(G126:P126)</f>
        <v>1</v>
      </c>
      <c r="S126" s="28" t="n">
        <f aca="false">IF(R126 &gt;= Q126,0,1)</f>
        <v>0</v>
      </c>
      <c r="T126" s="28" t="n">
        <f aca="false">IF(AND(R126 &gt; 0,Q126=0),1,0)</f>
        <v>0</v>
      </c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</row>
    <row r="127" customFormat="false" ht="11.25" hidden="false" customHeight="false" outlineLevel="0" collapsed="false">
      <c r="D127" s="28" t="s">
        <v>52</v>
      </c>
      <c r="E127" s="28" t="n">
        <v>59</v>
      </c>
      <c r="F127" s="29" t="s">
        <v>61</v>
      </c>
      <c r="G127" s="30" t="n">
        <v>3</v>
      </c>
      <c r="H127" s="30"/>
      <c r="I127" s="30"/>
      <c r="J127" s="30"/>
      <c r="K127" s="30"/>
      <c r="L127" s="30"/>
      <c r="M127" s="30"/>
      <c r="N127" s="30"/>
      <c r="O127" s="30"/>
      <c r="P127" s="30"/>
      <c r="Q127" s="28" t="n">
        <f aca="false">IF(TRIM(F127)="",0,1)</f>
        <v>1</v>
      </c>
      <c r="R127" s="28" t="n">
        <f aca="false">COUNT(G127:P127)</f>
        <v>1</v>
      </c>
      <c r="S127" s="28" t="n">
        <f aca="false">IF(R127 &gt;= Q127,0,1)</f>
        <v>0</v>
      </c>
      <c r="T127" s="28" t="n">
        <f aca="false">IF(AND(R127 &gt; 0,Q127=0),1,0)</f>
        <v>0</v>
      </c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</row>
    <row r="128" customFormat="false" ht="11.25" hidden="false" customHeight="false" outlineLevel="0" collapsed="false">
      <c r="D128" s="28" t="s">
        <v>52</v>
      </c>
      <c r="E128" s="28" t="n">
        <v>60</v>
      </c>
      <c r="F128" s="29" t="s">
        <v>61</v>
      </c>
      <c r="G128" s="30" t="n">
        <v>3</v>
      </c>
      <c r="H128" s="30"/>
      <c r="I128" s="30"/>
      <c r="J128" s="30"/>
      <c r="K128" s="30"/>
      <c r="L128" s="30"/>
      <c r="M128" s="30"/>
      <c r="N128" s="30"/>
      <c r="O128" s="30"/>
      <c r="P128" s="30"/>
      <c r="Q128" s="28" t="n">
        <f aca="false">IF(TRIM(F128)="",0,1)</f>
        <v>1</v>
      </c>
      <c r="R128" s="28" t="n">
        <f aca="false">COUNT(G128:P128)</f>
        <v>1</v>
      </c>
      <c r="S128" s="28" t="n">
        <f aca="false">IF(R128 &gt;= Q128,0,1)</f>
        <v>0</v>
      </c>
      <c r="T128" s="28" t="n">
        <f aca="false">IF(AND(R128 &gt; 0,Q128=0),1,0)</f>
        <v>0</v>
      </c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</row>
    <row r="129" customFormat="false" ht="11.25" hidden="false" customHeight="false" outlineLevel="0" collapsed="false">
      <c r="D129" s="28" t="s">
        <v>52</v>
      </c>
      <c r="E129" s="28" t="n">
        <v>64</v>
      </c>
      <c r="F129" s="29" t="s">
        <v>61</v>
      </c>
      <c r="G129" s="30" t="n">
        <v>3</v>
      </c>
      <c r="H129" s="30"/>
      <c r="I129" s="30"/>
      <c r="J129" s="30"/>
      <c r="K129" s="30"/>
      <c r="L129" s="30"/>
      <c r="M129" s="30"/>
      <c r="N129" s="30"/>
      <c r="O129" s="30"/>
      <c r="P129" s="30"/>
      <c r="Q129" s="28" t="n">
        <f aca="false">IF(TRIM(F129)="",0,1)</f>
        <v>1</v>
      </c>
      <c r="R129" s="28" t="n">
        <f aca="false">COUNT(G129:P129)</f>
        <v>1</v>
      </c>
      <c r="S129" s="28" t="n">
        <f aca="false">IF(R129 &gt;= Q129,0,1)</f>
        <v>0</v>
      </c>
      <c r="T129" s="28" t="n">
        <f aca="false">IF(AND(R129 &gt; 0,Q129=0),1,0)</f>
        <v>0</v>
      </c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</row>
    <row r="130" customFormat="false" ht="11.25" hidden="false" customHeight="false" outlineLevel="0" collapsed="false">
      <c r="D130" s="28" t="s">
        <v>52</v>
      </c>
      <c r="E130" s="28" t="n">
        <v>80</v>
      </c>
      <c r="F130" s="29" t="s">
        <v>61</v>
      </c>
      <c r="G130" s="30" t="n">
        <v>3</v>
      </c>
      <c r="H130" s="30"/>
      <c r="I130" s="30"/>
      <c r="J130" s="30"/>
      <c r="K130" s="30"/>
      <c r="L130" s="30"/>
      <c r="M130" s="30"/>
      <c r="N130" s="30"/>
      <c r="O130" s="30"/>
      <c r="P130" s="30"/>
      <c r="Q130" s="28" t="n">
        <f aca="false">IF(TRIM(F130)="",0,1)</f>
        <v>1</v>
      </c>
      <c r="R130" s="28" t="n">
        <f aca="false">COUNT(G130:P130)</f>
        <v>1</v>
      </c>
      <c r="S130" s="28" t="n">
        <f aca="false">IF(R130 &gt;= Q130,0,1)</f>
        <v>0</v>
      </c>
      <c r="T130" s="28" t="n">
        <f aca="false">IF(AND(R130 &gt; 0,Q130=0),1,0)</f>
        <v>0</v>
      </c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</row>
    <row r="131" customFormat="false" ht="11.25" hidden="false" customHeight="false" outlineLevel="0" collapsed="false">
      <c r="D131" s="28" t="s">
        <v>52</v>
      </c>
      <c r="E131" s="28" t="n">
        <v>92</v>
      </c>
      <c r="F131" s="29" t="s">
        <v>61</v>
      </c>
      <c r="G131" s="30" t="n">
        <v>3</v>
      </c>
      <c r="H131" s="30"/>
      <c r="I131" s="30"/>
      <c r="J131" s="30"/>
      <c r="K131" s="30"/>
      <c r="L131" s="30"/>
      <c r="M131" s="30"/>
      <c r="N131" s="30"/>
      <c r="O131" s="30"/>
      <c r="P131" s="30"/>
      <c r="Q131" s="28" t="n">
        <f aca="false">IF(TRIM(F131)="",0,1)</f>
        <v>1</v>
      </c>
      <c r="R131" s="28" t="n">
        <f aca="false">COUNT(G131:P131)</f>
        <v>1</v>
      </c>
      <c r="S131" s="28" t="n">
        <f aca="false">IF(R131 &gt;= Q131,0,1)</f>
        <v>0</v>
      </c>
      <c r="T131" s="28" t="n">
        <f aca="false">IF(AND(R131 &gt; 0,Q131=0),1,0)</f>
        <v>0</v>
      </c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</row>
    <row r="132" customFormat="false" ht="11.25" hidden="false" customHeight="false" outlineLevel="0" collapsed="false">
      <c r="D132" s="28" t="s">
        <v>52</v>
      </c>
      <c r="E132" s="28" t="n">
        <v>95</v>
      </c>
      <c r="F132" s="29" t="s">
        <v>61</v>
      </c>
      <c r="G132" s="30" t="n">
        <v>3</v>
      </c>
      <c r="H132" s="30"/>
      <c r="I132" s="30"/>
      <c r="J132" s="30"/>
      <c r="K132" s="30"/>
      <c r="L132" s="30"/>
      <c r="M132" s="30"/>
      <c r="N132" s="30"/>
      <c r="O132" s="30"/>
      <c r="P132" s="30"/>
      <c r="Q132" s="28" t="n">
        <f aca="false">IF(TRIM(F132)="",0,1)</f>
        <v>1</v>
      </c>
      <c r="R132" s="28" t="n">
        <f aca="false">COUNT(G132:P132)</f>
        <v>1</v>
      </c>
      <c r="S132" s="28" t="n">
        <f aca="false">IF(R132 &gt;= Q132,0,1)</f>
        <v>0</v>
      </c>
      <c r="T132" s="28" t="n">
        <f aca="false">IF(AND(R132 &gt; 0,Q132=0),1,0)</f>
        <v>0</v>
      </c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</row>
  </sheetData>
  <sheetProtection sheet="true" objects="true" scenarios="true" formatCells="false" formatColumns="false" formatRows="false" sort="false" autoFilter="false"/>
  <autoFilter ref="D32:BD132"/>
  <mergeCells count="2">
    <mergeCell ref="H11:J14"/>
    <mergeCell ref="H17:J30"/>
  </mergeCells>
  <conditionalFormatting sqref="H17">
    <cfRule type="cellIs" priority="2" operator="notEqual" aboveAverage="0" equalAverage="0" bottom="0" percent="0" rank="0" text="" dxfId="6">
      <formula>""</formula>
    </cfRule>
  </conditionalFormatting>
  <conditionalFormatting sqref="H11:J14">
    <cfRule type="expression" priority="3" aboveAverage="0" equalAverage="0" bottom="0" percent="0" rank="0" text="" dxfId="7">
      <formula>H6=H7</formula>
    </cfRule>
  </conditionalFormatting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2505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2021-01-09T12:39:11Z</dcterms:created>
  <dc:creator>Wolf Wilke</dc:creator>
  <dc:description/>
  <dc:language>en-US</dc:language>
  <cp:lastModifiedBy/>
  <dcterms:modified xsi:type="dcterms:W3CDTF">2021-02-03T13:14:26Z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